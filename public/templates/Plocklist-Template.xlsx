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gab Jönköping + Hässleholm" sheetId="1" r:id="rId4"/>
    <sheet state="visible" name="Dagab Bålsta" sheetId="2" r:id="rId5"/>
    <sheet state="visible" name="Coop Eskilstuna" sheetId="3" r:id="rId6"/>
    <sheet state="visible" name="ICA Dag" sheetId="4" r:id="rId7"/>
    <sheet state="visible" name="ICA Helg" sheetId="5" r:id="rId8"/>
    <sheet state="visible" name="Lidl" sheetId="6" r:id="rId9"/>
    <sheet state="hidden" name="Lidl H Lördag" sheetId="7" r:id="rId10"/>
    <sheet state="visible" name="Lidl Söndag" sheetId="8" r:id="rId11"/>
    <sheet state="visible" name="Ica Kampanj" sheetId="9" r:id="rId12"/>
    <sheet state="visible" name="Coop" sheetId="10" r:id="rId13"/>
    <sheet state="visible" name="Axfood Pontus" sheetId="11" r:id="rId14"/>
    <sheet state="visible" name="Axfood Pontus BIGGER" sheetId="12" r:id="rId15"/>
  </sheets>
  <definedNames/>
  <calcPr/>
  <extLst>
    <ext uri="GoogleSheetsCustomDataVersion2">
      <go:sheetsCustomData xmlns:go="http://customooxmlschemas.google.com/" r:id="rId16" roundtripDataChecksum="3Hb/xwdcPpUhYO9Hdphtxe009ho1/i4zdXKwRfdDCIE="/>
    </ext>
  </extLst>
</workbook>
</file>

<file path=xl/sharedStrings.xml><?xml version="1.0" encoding="utf-8"?>
<sst xmlns="http://schemas.openxmlformats.org/spreadsheetml/2006/main" count="789" uniqueCount="54">
  <si>
    <t>Kund: Axfood Jönköping</t>
  </si>
  <si>
    <t>Totalt</t>
  </si>
  <si>
    <t>Art nr:</t>
  </si>
  <si>
    <t>DFP</t>
  </si>
  <si>
    <t>Klar</t>
  </si>
  <si>
    <t>Saknas</t>
  </si>
  <si>
    <t>Rest</t>
  </si>
  <si>
    <t>pall</t>
  </si>
  <si>
    <t>Full pall</t>
  </si>
  <si>
    <t>Kolli</t>
  </si>
  <si>
    <t>Plast pall</t>
  </si>
  <si>
    <t>SIGN:</t>
  </si>
  <si>
    <t>Kund: Dagab Hässleholm</t>
  </si>
  <si>
    <t/>
  </si>
  <si>
    <t>Kund: Dagab Bålsta</t>
  </si>
  <si>
    <t>PPL</t>
  </si>
  <si>
    <t>PP</t>
  </si>
  <si>
    <t>platser</t>
  </si>
  <si>
    <t>Pallplats</t>
  </si>
  <si>
    <t>Kund: Coop Eskilstuna</t>
  </si>
  <si>
    <t>Kund: Ica Borlänge</t>
  </si>
  <si>
    <t>Summa Fullpall</t>
  </si>
  <si>
    <t>Streckkod</t>
  </si>
  <si>
    <t>Kund: Ica Kallhäll</t>
  </si>
  <si>
    <t>Kund: Ica Helsingborg</t>
  </si>
  <si>
    <t>Pall plats</t>
  </si>
  <si>
    <t>Kund:</t>
  </si>
  <si>
    <t>ICA Borlänge</t>
  </si>
  <si>
    <t>Datum:</t>
  </si>
  <si>
    <t>ICA Helsingborg</t>
  </si>
  <si>
    <t>2024-</t>
  </si>
  <si>
    <t>ICA Viby</t>
  </si>
  <si>
    <t>SRS</t>
  </si>
  <si>
    <t>Art nr</t>
  </si>
  <si>
    <t>Anmärkning</t>
  </si>
  <si>
    <t>TOTAL</t>
  </si>
  <si>
    <t>HÖJD</t>
  </si>
  <si>
    <t>SRS-Pall</t>
  </si>
  <si>
    <t>Lådor</t>
  </si>
  <si>
    <t>Sortrena</t>
  </si>
  <si>
    <t>Platser:</t>
  </si>
  <si>
    <t>Kolli:</t>
  </si>
  <si>
    <t>DFP:</t>
  </si>
  <si>
    <t>Kund: Lidl Rosersberg</t>
  </si>
  <si>
    <t>Fredag</t>
  </si>
  <si>
    <t>Kund: Lidl Halmstad</t>
  </si>
  <si>
    <t>Kund: Stockfiller</t>
  </si>
  <si>
    <t xml:space="preserve">Kund: </t>
  </si>
  <si>
    <t>Kund: Lidl Örebro</t>
  </si>
  <si>
    <t>Söndag</t>
  </si>
  <si>
    <t>p</t>
  </si>
  <si>
    <t>Kund: Coop FT Eskilstuna</t>
  </si>
  <si>
    <t>Axfood</t>
  </si>
  <si>
    <t xml:space="preserve">                                                 Plockat av: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</si>
</sst>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"/>
  </numFmts>
  <fonts count="28">
    <font>
      <sz val="11.0"/>
      <color theme="1"/>
      <name val="Calibri"/>
      <scheme val="minor"/>
    </font>
    <font>
      <b/>
      <sz val="18.0"/>
      <color theme="1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b/>
      <sz val="14.0"/>
      <color theme="1"/>
      <name val="Calibri"/>
    </font>
    <font>
      <b/>
      <sz val="20.0"/>
      <color theme="1"/>
      <name val="Calibri"/>
    </font>
    <font>
      <b/>
      <sz val="22.0"/>
      <color theme="1"/>
      <name val="Calibri"/>
    </font>
    <font>
      <sz val="11.0"/>
      <color rgb="FF1A1A1A"/>
      <name val="Arial"/>
    </font>
    <font>
      <sz val="11.0"/>
      <color rgb="FF333333"/>
      <name val="Arial"/>
    </font>
    <font>
      <b/>
      <sz val="12.0"/>
      <color theme="1"/>
      <name val="Calibri"/>
    </font>
    <font>
      <sz val="11.0"/>
      <color rgb="FF000000"/>
      <name val="Calibri"/>
    </font>
    <font>
      <b/>
      <sz val="24.0"/>
      <color theme="1"/>
      <name val="Calibri"/>
    </font>
    <font>
      <b/>
      <sz val="16.0"/>
      <color theme="1"/>
      <name val="Calibri"/>
    </font>
    <font>
      <b/>
      <u/>
      <sz val="14.0"/>
      <color theme="1"/>
      <name val="Calibri"/>
    </font>
    <font>
      <color theme="1"/>
      <name val="Calibri"/>
      <scheme val="minor"/>
    </font>
    <font>
      <b/>
      <u/>
      <sz val="12.0"/>
      <color theme="1"/>
      <name val="Calibri"/>
    </font>
    <font>
      <b/>
      <i/>
      <sz val="11.0"/>
      <color theme="1"/>
      <name val="Calibri"/>
    </font>
    <font>
      <b/>
      <i/>
      <sz val="14.0"/>
      <color theme="1"/>
      <name val="Calibri"/>
    </font>
    <font>
      <b/>
      <i/>
      <sz val="12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i/>
      <sz val="11.0"/>
      <color theme="1"/>
      <name val="Calibri"/>
    </font>
    <font>
      <sz val="28.0"/>
      <color theme="1"/>
      <name val="Calibri"/>
    </font>
    <font>
      <sz val="24.0"/>
      <color theme="1"/>
      <name val="Calibri"/>
    </font>
    <font>
      <color theme="1"/>
      <name val="Calibri"/>
    </font>
    <font>
      <b/>
      <u/>
      <sz val="14.0"/>
      <color theme="1"/>
      <name val="Calibri"/>
    </font>
    <font>
      <b/>
      <sz val="10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</fills>
  <borders count="75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medium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 style="double">
        <color rgb="FF000000"/>
      </bottom>
    </border>
    <border>
      <top style="medium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ont="1"/>
    <xf borderId="2" fillId="2" fontId="2" numFmtId="14" xfId="0" applyBorder="1" applyFont="1" applyNumberFormat="1"/>
    <xf borderId="3" fillId="2" fontId="1" numFmtId="14" xfId="0" applyAlignment="1" applyBorder="1" applyFont="1" applyNumberFormat="1">
      <alignment horizontal="center"/>
    </xf>
    <xf borderId="4" fillId="0" fontId="3" numFmtId="0" xfId="0" applyBorder="1" applyFont="1"/>
    <xf borderId="5" fillId="0" fontId="3" numFmtId="0" xfId="0" applyBorder="1" applyFont="1"/>
    <xf borderId="1" fillId="3" fontId="1" numFmtId="0" xfId="0" applyBorder="1" applyFill="1" applyFont="1"/>
    <xf borderId="2" fillId="3" fontId="2" numFmtId="0" xfId="0" applyBorder="1" applyFont="1"/>
    <xf borderId="2" fillId="3" fontId="2" numFmtId="14" xfId="0" applyBorder="1" applyFont="1" applyNumberFormat="1"/>
    <xf borderId="3" fillId="3" fontId="1" numFmtId="14" xfId="0" applyAlignment="1" applyBorder="1" applyFont="1" applyNumberFormat="1">
      <alignment horizontal="center"/>
    </xf>
    <xf borderId="6" fillId="0" fontId="1" numFmtId="0" xfId="0" applyAlignment="1" applyBorder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0" fillId="0" fontId="4" numFmtId="0" xfId="0" applyAlignment="1" applyFont="1">
      <alignment horizontal="left"/>
    </xf>
    <xf borderId="9" fillId="0" fontId="2" numFmtId="0" xfId="0" applyAlignment="1" applyBorder="1" applyFont="1">
      <alignment horizontal="center"/>
    </xf>
    <xf borderId="10" fillId="0" fontId="2" numFmtId="0" xfId="0" applyAlignment="1" applyBorder="1" applyFont="1">
      <alignment horizontal="center"/>
    </xf>
    <xf borderId="11" fillId="0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13" fillId="0" fontId="4" numFmtId="0" xfId="0" applyBorder="1" applyFont="1"/>
    <xf borderId="14" fillId="0" fontId="2" numFmtId="0" xfId="0" applyBorder="1" applyFont="1"/>
    <xf borderId="15" fillId="3" fontId="2" numFmtId="0" xfId="0" applyAlignment="1" applyBorder="1" applyFont="1">
      <alignment horizontal="center"/>
    </xf>
    <xf borderId="16" fillId="3" fontId="2" numFmtId="0" xfId="0" applyAlignment="1" applyBorder="1" applyFont="1">
      <alignment horizontal="center"/>
    </xf>
    <xf borderId="17" fillId="3" fontId="2" numFmtId="0" xfId="0" applyAlignment="1" applyBorder="1" applyFont="1">
      <alignment horizontal="center"/>
    </xf>
    <xf borderId="18" fillId="3" fontId="4" numFmtId="0" xfId="0" applyBorder="1" applyFont="1"/>
    <xf borderId="12" fillId="3" fontId="2" numFmtId="0" xfId="0" applyAlignment="1" applyBorder="1" applyFont="1">
      <alignment horizontal="center"/>
    </xf>
    <xf borderId="13" fillId="3" fontId="4" numFmtId="0" xfId="0" applyBorder="1" applyFont="1"/>
    <xf borderId="14" fillId="3" fontId="2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1" numFmtId="0" xfId="0" applyAlignment="1" applyBorder="1" applyFont="1">
      <alignment horizontal="left"/>
    </xf>
    <xf borderId="21" fillId="0" fontId="1" numFmtId="0" xfId="0" applyBorder="1" applyFont="1"/>
    <xf borderId="22" fillId="0" fontId="1" numFmtId="0" xfId="0" applyBorder="1" applyFont="1"/>
    <xf borderId="22" fillId="3" fontId="1" numFmtId="0" xfId="0" applyAlignment="1" applyBorder="1" applyFont="1">
      <alignment horizontal="left"/>
    </xf>
    <xf borderId="23" fillId="3" fontId="1" numFmtId="0" xfId="0" applyBorder="1" applyFont="1"/>
    <xf borderId="21" fillId="0" fontId="2" numFmtId="0" xfId="0" applyBorder="1" applyFont="1"/>
    <xf borderId="22" fillId="3" fontId="5" numFmtId="0" xfId="0" applyAlignment="1" applyBorder="1" applyFont="1">
      <alignment horizontal="left"/>
    </xf>
    <xf borderId="22" fillId="3" fontId="5" numFmtId="0" xfId="0" applyBorder="1" applyFont="1"/>
    <xf borderId="23" fillId="3" fontId="2" numFmtId="0" xfId="0" applyBorder="1" applyFont="1"/>
    <xf borderId="24" fillId="0" fontId="6" numFmtId="0" xfId="0" applyAlignment="1" applyBorder="1" applyFont="1">
      <alignment horizontal="center" vertical="center"/>
    </xf>
    <xf borderId="25" fillId="0" fontId="3" numFmtId="0" xfId="0" applyBorder="1" applyFont="1"/>
    <xf borderId="26" fillId="0" fontId="3" numFmtId="0" xfId="0" applyBorder="1" applyFont="1"/>
    <xf borderId="22" fillId="0" fontId="2" numFmtId="0" xfId="0" applyBorder="1" applyFont="1"/>
    <xf borderId="22" fillId="3" fontId="2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22" fillId="0" fontId="1" numFmtId="0" xfId="0" applyAlignment="1" applyBorder="1" applyFont="1">
      <alignment horizontal="left"/>
    </xf>
    <xf borderId="24" fillId="0" fontId="7" numFmtId="0" xfId="0" applyAlignment="1" applyBorder="1" applyFont="1">
      <alignment horizontal="center" vertical="center"/>
    </xf>
    <xf borderId="21" fillId="3" fontId="1" numFmtId="0" xfId="0" applyBorder="1" applyFont="1"/>
    <xf borderId="30" fillId="0" fontId="3" numFmtId="0" xfId="0" applyBorder="1" applyFont="1"/>
    <xf borderId="31" fillId="0" fontId="3" numFmtId="0" xfId="0" applyBorder="1" applyFont="1"/>
    <xf borderId="0" fillId="0" fontId="8" numFmtId="0" xfId="0" applyFont="1"/>
    <xf borderId="23" fillId="3" fontId="5" numFmtId="0" xfId="0" applyBorder="1" applyFont="1"/>
    <xf borderId="32" fillId="3" fontId="2" numFmtId="0" xfId="0" applyBorder="1" applyFont="1"/>
    <xf borderId="33" fillId="3" fontId="4" numFmtId="0" xfId="0" applyAlignment="1" applyBorder="1" applyFont="1">
      <alignment horizontal="center"/>
    </xf>
    <xf borderId="33" fillId="3" fontId="2" numFmtId="0" xfId="0" applyAlignment="1" applyBorder="1" applyFont="1">
      <alignment horizontal="center"/>
    </xf>
    <xf borderId="18" fillId="3" fontId="9" numFmtId="0" xfId="0" applyBorder="1" applyFont="1"/>
    <xf borderId="32" fillId="0" fontId="2" numFmtId="0" xfId="0" applyBorder="1" applyFont="1"/>
    <xf borderId="33" fillId="0" fontId="4" numFmtId="0" xfId="0" applyAlignment="1" applyBorder="1" applyFont="1">
      <alignment horizontal="center"/>
    </xf>
    <xf borderId="33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34" fillId="0" fontId="2" numFmtId="0" xfId="0" applyAlignment="1" applyBorder="1" applyFont="1">
      <alignment horizontal="center" vertical="center"/>
    </xf>
    <xf borderId="32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35" fillId="0" fontId="3" numFmtId="0" xfId="0" applyBorder="1" applyFont="1"/>
    <xf borderId="6" fillId="3" fontId="2" numFmtId="0" xfId="0" applyAlignment="1" applyBorder="1" applyFont="1">
      <alignment horizontal="center" vertical="center"/>
    </xf>
    <xf borderId="1" fillId="4" fontId="1" numFmtId="0" xfId="0" applyBorder="1" applyFill="1" applyFont="1"/>
    <xf borderId="2" fillId="4" fontId="2" numFmtId="0" xfId="0" applyBorder="1" applyFont="1"/>
    <xf borderId="2" fillId="4" fontId="2" numFmtId="14" xfId="0" applyBorder="1" applyFont="1" applyNumberFormat="1"/>
    <xf borderId="3" fillId="4" fontId="6" numFmtId="14" xfId="0" applyAlignment="1" applyBorder="1" applyFont="1" applyNumberFormat="1">
      <alignment horizontal="center"/>
    </xf>
    <xf borderId="18" fillId="3" fontId="2" numFmtId="0" xfId="0" applyAlignment="1" applyBorder="1" applyFont="1">
      <alignment horizontal="center" vertical="center"/>
    </xf>
    <xf borderId="21" fillId="0" fontId="7" numFmtId="0" xfId="0" applyAlignment="1" applyBorder="1" applyFont="1">
      <alignment horizontal="left"/>
    </xf>
    <xf borderId="21" fillId="0" fontId="7" numFmtId="0" xfId="0" applyBorder="1" applyFont="1"/>
    <xf borderId="22" fillId="0" fontId="7" numFmtId="0" xfId="0" applyAlignment="1" applyBorder="1" applyFont="1">
      <alignment horizontal="left"/>
    </xf>
    <xf borderId="36" fillId="3" fontId="5" numFmtId="0" xfId="0" applyAlignment="1" applyBorder="1" applyFont="1">
      <alignment horizontal="left"/>
    </xf>
    <xf borderId="36" fillId="3" fontId="5" numFmtId="0" xfId="0" applyBorder="1" applyFont="1"/>
    <xf borderId="22" fillId="0" fontId="7" numFmtId="0" xfId="0" applyBorder="1" applyFont="1"/>
    <xf borderId="34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/>
    </xf>
    <xf borderId="32" fillId="3" fontId="2" numFmtId="0" xfId="0" applyAlignment="1" applyBorder="1" applyFont="1">
      <alignment horizontal="center"/>
    </xf>
    <xf borderId="2" fillId="3" fontId="2" numFmtId="0" xfId="0" applyAlignment="1" applyBorder="1" applyFont="1">
      <alignment horizontal="center"/>
    </xf>
    <xf borderId="37" fillId="0" fontId="1" numFmtId="0" xfId="0" applyBorder="1" applyFont="1"/>
    <xf borderId="38" fillId="4" fontId="2" numFmtId="0" xfId="0" applyBorder="1" applyFont="1"/>
    <xf borderId="39" fillId="0" fontId="1" numFmtId="0" xfId="0" applyAlignment="1" applyBorder="1" applyFont="1">
      <alignment horizontal="left"/>
    </xf>
    <xf borderId="1" fillId="3" fontId="2" numFmtId="0" xfId="0" applyBorder="1" applyFont="1"/>
    <xf borderId="3" fillId="3" fontId="2" numFmtId="14" xfId="0" applyAlignment="1" applyBorder="1" applyFont="1" applyNumberFormat="1">
      <alignment horizontal="center"/>
    </xf>
    <xf borderId="22" fillId="3" fontId="4" numFmtId="0" xfId="0" applyAlignment="1" applyBorder="1" applyFont="1">
      <alignment horizontal="left"/>
    </xf>
    <xf borderId="23" fillId="3" fontId="4" numFmtId="0" xfId="0" applyBorder="1" applyFont="1"/>
    <xf borderId="22" fillId="3" fontId="4" numFmtId="0" xfId="0" applyBorder="1" applyFont="1"/>
    <xf borderId="22" fillId="3" fontId="1" numFmtId="0" xfId="0" applyAlignment="1" applyBorder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35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22" fillId="3" fontId="2" numFmtId="14" xfId="0" applyBorder="1" applyFont="1" applyNumberFormat="1"/>
    <xf borderId="22" fillId="3" fontId="2" numFmtId="0" xfId="0" applyAlignment="1" applyBorder="1" applyFont="1">
      <alignment horizontal="center"/>
    </xf>
    <xf borderId="37" fillId="3" fontId="2" numFmtId="14" xfId="0" applyAlignment="1" applyBorder="1" applyFont="1" applyNumberFormat="1">
      <alignment horizontal="center"/>
    </xf>
    <xf borderId="40" fillId="0" fontId="3" numFmtId="0" xfId="0" applyBorder="1" applyFont="1"/>
    <xf borderId="39" fillId="0" fontId="3" numFmtId="0" xfId="0" applyBorder="1" applyFont="1"/>
    <xf borderId="36" fillId="3" fontId="4" numFmtId="0" xfId="0" applyAlignment="1" applyBorder="1" applyFont="1">
      <alignment horizontal="left"/>
    </xf>
    <xf borderId="36" fillId="3" fontId="4" numFmtId="0" xfId="0" applyBorder="1" applyFont="1"/>
    <xf borderId="22" fillId="0" fontId="4" numFmtId="0" xfId="0" applyBorder="1" applyFont="1"/>
    <xf borderId="37" fillId="3" fontId="4" numFmtId="0" xfId="0" applyAlignment="1" applyBorder="1" applyFont="1">
      <alignment horizontal="center"/>
    </xf>
    <xf borderId="37" fillId="3" fontId="2" numFmtId="0" xfId="0" applyAlignment="1" applyBorder="1" applyFont="1">
      <alignment horizontal="center"/>
    </xf>
    <xf borderId="24" fillId="3" fontId="2" numFmtId="0" xfId="0" applyAlignment="1" applyBorder="1" applyFont="1">
      <alignment horizontal="center" vertical="center"/>
    </xf>
    <xf borderId="41" fillId="3" fontId="2" numFmtId="0" xfId="0" applyAlignment="1" applyBorder="1" applyFont="1">
      <alignment horizontal="center" vertical="center"/>
    </xf>
    <xf borderId="22" fillId="3" fontId="8" numFmtId="0" xfId="0" applyBorder="1" applyFont="1"/>
    <xf borderId="21" fillId="0" fontId="3" numFmtId="0" xfId="0" applyBorder="1" applyFont="1"/>
    <xf borderId="22" fillId="3" fontId="9" numFmtId="0" xfId="0" applyBorder="1" applyFont="1"/>
    <xf borderId="41" fillId="0" fontId="4" numFmtId="0" xfId="0" applyBorder="1" applyFont="1"/>
    <xf borderId="0" fillId="0" fontId="4" numFmtId="0" xfId="0" applyFont="1"/>
    <xf borderId="3" fillId="4" fontId="1" numFmtId="14" xfId="0" applyAlignment="1" applyBorder="1" applyFont="1" applyNumberFormat="1">
      <alignment horizontal="center"/>
    </xf>
    <xf borderId="23" fillId="4" fontId="1" numFmtId="0" xfId="0" applyAlignment="1" applyBorder="1" applyFont="1">
      <alignment horizontal="left"/>
    </xf>
    <xf borderId="23" fillId="4" fontId="1" numFmtId="0" xfId="0" applyBorder="1" applyFont="1"/>
    <xf borderId="22" fillId="4" fontId="1" numFmtId="0" xfId="0" applyBorder="1" applyFont="1"/>
    <xf borderId="18" fillId="4" fontId="4" numFmtId="0" xfId="0" applyBorder="1" applyFont="1"/>
    <xf borderId="22" fillId="4" fontId="1" numFmtId="0" xfId="0" applyAlignment="1" applyBorder="1" applyFont="1">
      <alignment horizontal="left"/>
    </xf>
    <xf borderId="34" fillId="0" fontId="1" numFmtId="0" xfId="0" applyAlignment="1" applyBorder="1" applyFont="1">
      <alignment horizontal="center" vertical="center"/>
    </xf>
    <xf borderId="6" fillId="0" fontId="1" numFmtId="4" xfId="0" applyAlignment="1" applyBorder="1" applyFont="1" applyNumberFormat="1">
      <alignment horizontal="center" vertical="center"/>
    </xf>
    <xf borderId="34" fillId="5" fontId="10" numFmtId="0" xfId="0" applyAlignment="1" applyBorder="1" applyFill="1" applyFont="1">
      <alignment horizontal="center" vertical="center"/>
    </xf>
    <xf borderId="0" fillId="0" fontId="11" numFmtId="0" xfId="0" applyFont="1"/>
    <xf borderId="0" fillId="0" fontId="9" numFmtId="0" xfId="0" applyFont="1"/>
    <xf borderId="34" fillId="0" fontId="6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vertical="center"/>
    </xf>
    <xf borderId="6" fillId="5" fontId="6" numFmtId="0" xfId="0" applyAlignment="1" applyBorder="1" applyFont="1">
      <alignment horizontal="center" vertical="center"/>
    </xf>
    <xf borderId="6" fillId="5" fontId="7" numFmtId="0" xfId="0" applyAlignment="1" applyBorder="1" applyFont="1">
      <alignment horizontal="center"/>
    </xf>
    <xf borderId="41" fillId="0" fontId="1" numFmtId="0" xfId="0" applyAlignment="1" applyBorder="1" applyFont="1">
      <alignment horizontal="left"/>
    </xf>
    <xf borderId="41" fillId="0" fontId="1" numFmtId="0" xfId="0" applyBorder="1" applyFont="1"/>
    <xf borderId="34" fillId="0" fontId="7" numFmtId="0" xfId="0" applyAlignment="1" applyBorder="1" applyFont="1">
      <alignment horizontal="center" vertical="center"/>
    </xf>
    <xf borderId="6" fillId="5" fontId="13" numFmtId="0" xfId="0" applyAlignment="1" applyBorder="1" applyFont="1">
      <alignment horizontal="center"/>
    </xf>
    <xf borderId="6" fillId="5" fontId="6" numFmtId="0" xfId="0" applyAlignment="1" applyBorder="1" applyFont="1">
      <alignment horizontal="center"/>
    </xf>
    <xf borderId="22" fillId="0" fontId="13" numFmtId="0" xfId="0" applyAlignment="1" applyBorder="1" applyFont="1">
      <alignment horizontal="left"/>
    </xf>
    <xf borderId="0" fillId="0" fontId="4" numFmtId="0" xfId="0" applyAlignment="1" applyFont="1">
      <alignment vertical="bottom"/>
    </xf>
    <xf borderId="1" fillId="3" fontId="1" numFmtId="0" xfId="0" applyAlignment="1" applyBorder="1" applyFont="1">
      <alignment vertical="bottom"/>
    </xf>
    <xf borderId="2" fillId="3" fontId="4" numFmtId="0" xfId="0" applyAlignment="1" applyBorder="1" applyFont="1">
      <alignment vertical="bottom"/>
    </xf>
    <xf borderId="2" fillId="3" fontId="4" numFmtId="14" xfId="0" applyAlignment="1" applyBorder="1" applyFont="1" applyNumberFormat="1">
      <alignment vertical="bottom"/>
    </xf>
    <xf borderId="3" fillId="3" fontId="4" numFmtId="0" xfId="0" applyAlignment="1" applyBorder="1" applyFont="1">
      <alignment vertical="bottom"/>
    </xf>
    <xf borderId="1" fillId="3" fontId="4" numFmtId="0" xfId="0" applyAlignment="1" applyBorder="1" applyFont="1">
      <alignment vertical="bottom"/>
    </xf>
    <xf borderId="3" fillId="3" fontId="1" numFmtId="14" xfId="0" applyAlignment="1" applyBorder="1" applyFont="1" applyNumberFormat="1">
      <alignment horizontal="center" vertical="bottom"/>
    </xf>
    <xf borderId="32" fillId="0" fontId="10" numFmtId="0" xfId="0" applyAlignment="1" applyBorder="1" applyFont="1">
      <alignment horizontal="center" vertical="bottom"/>
    </xf>
    <xf borderId="32" fillId="0" fontId="10" numFmtId="0" xfId="0" applyAlignment="1" applyBorder="1" applyFont="1">
      <alignment horizontal="center" readingOrder="0" vertical="bottom"/>
    </xf>
    <xf borderId="12" fillId="0" fontId="10" numFmtId="0" xfId="0" applyAlignment="1" applyBorder="1" applyFont="1">
      <alignment horizontal="center" vertical="bottom"/>
    </xf>
    <xf borderId="13" fillId="0" fontId="4" numFmtId="0" xfId="0" applyAlignment="1" applyBorder="1" applyFont="1">
      <alignment vertical="bottom"/>
    </xf>
    <xf borderId="14" fillId="0" fontId="10" numFmtId="0" xfId="0" applyAlignment="1" applyBorder="1" applyFont="1">
      <alignment readingOrder="0" vertical="bottom"/>
    </xf>
    <xf borderId="21" fillId="0" fontId="4" numFmtId="0" xfId="0" applyAlignment="1" applyBorder="1" applyFont="1">
      <alignment vertical="bottom"/>
    </xf>
    <xf borderId="21" fillId="0" fontId="10" numFmtId="0" xfId="0" applyAlignment="1" applyBorder="1" applyFont="1">
      <alignment horizontal="right" vertical="bottom"/>
    </xf>
    <xf borderId="22" fillId="0" fontId="4" numFmtId="0" xfId="0" applyAlignment="1" applyBorder="1" applyFont="1">
      <alignment vertical="bottom"/>
    </xf>
    <xf borderId="22" fillId="0" fontId="10" numFmtId="0" xfId="0" applyAlignment="1" applyBorder="1" applyFont="1">
      <alignment horizontal="right" vertical="bottom"/>
    </xf>
    <xf borderId="37" fillId="0" fontId="4" numFmtId="0" xfId="0" applyAlignment="1" applyBorder="1" applyFont="1">
      <alignment vertical="bottom"/>
    </xf>
    <xf borderId="22" fillId="0" fontId="4" numFmtId="0" xfId="0" applyBorder="1" applyFont="1"/>
    <xf borderId="37" fillId="0" fontId="10" numFmtId="0" xfId="0" applyAlignment="1" applyBorder="1" applyFont="1">
      <alignment horizontal="center" vertical="bottom"/>
    </xf>
    <xf borderId="10" fillId="0" fontId="14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/>
    </xf>
    <xf borderId="32" fillId="0" fontId="10" numFmtId="0" xfId="0" applyAlignment="1" applyBorder="1" applyFont="1">
      <alignment readingOrder="0" vertical="bottom"/>
    </xf>
    <xf borderId="33" fillId="0" fontId="10" numFmtId="0" xfId="0" applyAlignment="1" applyBorder="1" applyFont="1">
      <alignment horizontal="center" vertical="bottom"/>
    </xf>
    <xf borderId="34" fillId="0" fontId="13" numFmtId="0" xfId="0" applyAlignment="1" applyBorder="1" applyFont="1">
      <alignment horizontal="center"/>
    </xf>
    <xf borderId="6" fillId="0" fontId="13" numFmtId="0" xfId="0" applyAlignment="1" applyBorder="1" applyFont="1">
      <alignment horizontal="center"/>
    </xf>
    <xf borderId="41" fillId="0" fontId="4" numFmtId="0" xfId="0" applyAlignment="1" applyBorder="1" applyFont="1">
      <alignment vertical="bottom"/>
    </xf>
    <xf borderId="38" fillId="0" fontId="4" numFmtId="0" xfId="0" applyAlignment="1" applyBorder="1" applyFont="1">
      <alignment vertical="bottom"/>
    </xf>
    <xf borderId="33" fillId="0" fontId="5" numFmtId="0" xfId="0" applyAlignment="1" applyBorder="1" applyFont="1">
      <alignment horizontal="center" vertical="bottom"/>
    </xf>
    <xf borderId="33" fillId="0" fontId="4" numFmtId="0" xfId="0" applyAlignment="1" applyBorder="1" applyFont="1">
      <alignment vertical="bottom"/>
    </xf>
    <xf borderId="4" fillId="0" fontId="10" numFmtId="0" xfId="0" applyAlignment="1" applyBorder="1" applyFont="1">
      <alignment horizontal="center" vertical="bottom"/>
    </xf>
    <xf borderId="4" fillId="0" fontId="4" numFmtId="0" xfId="0" applyAlignment="1" applyBorder="1" applyFont="1">
      <alignment vertical="bottom"/>
    </xf>
    <xf borderId="4" fillId="0" fontId="15" numFmtId="0" xfId="0" applyBorder="1" applyFont="1"/>
    <xf borderId="21" fillId="0" fontId="10" numFmtId="0" xfId="0" applyAlignment="1" applyBorder="1" applyFont="1">
      <alignment horizontal="right" readingOrder="0" vertical="bottom"/>
    </xf>
    <xf borderId="1" fillId="3" fontId="1" numFmtId="0" xfId="0" applyAlignment="1" applyBorder="1" applyFont="1">
      <alignment readingOrder="0" vertical="bottom"/>
    </xf>
    <xf borderId="22" fillId="0" fontId="10" numFmtId="0" xfId="0" applyAlignment="1" applyBorder="1" applyFont="1">
      <alignment horizontal="right" readingOrder="0" vertical="bottom"/>
    </xf>
    <xf borderId="33" fillId="5" fontId="2" numFmtId="0" xfId="0" applyAlignment="1" applyBorder="1" applyFont="1">
      <alignment horizontal="center" vertical="bottom"/>
    </xf>
    <xf borderId="33" fillId="5" fontId="2" numFmtId="4" xfId="0" applyAlignment="1" applyBorder="1" applyFont="1" applyNumberFormat="1">
      <alignment horizontal="center" vertical="bottom"/>
    </xf>
    <xf borderId="0" fillId="0" fontId="16" numFmtId="0" xfId="0" applyFont="1"/>
    <xf borderId="18" fillId="6" fontId="4" numFmtId="0" xfId="0" applyBorder="1" applyFill="1" applyFont="1"/>
    <xf borderId="42" fillId="0" fontId="17" numFmtId="0" xfId="0" applyAlignment="1" applyBorder="1" applyFont="1">
      <alignment horizontal="center"/>
    </xf>
    <xf borderId="43" fillId="0" fontId="1" numFmtId="0" xfId="0" applyAlignment="1" applyBorder="1" applyFont="1">
      <alignment horizontal="center"/>
    </xf>
    <xf borderId="43" fillId="0" fontId="3" numFmtId="0" xfId="0" applyBorder="1" applyFont="1"/>
    <xf borderId="44" fillId="0" fontId="3" numFmtId="0" xfId="0" applyBorder="1" applyFont="1"/>
    <xf borderId="19" fillId="0" fontId="4" numFmtId="0" xfId="0" applyBorder="1" applyFont="1"/>
    <xf borderId="45" fillId="0" fontId="18" numFmtId="0" xfId="0" applyAlignment="1" applyBorder="1" applyFont="1">
      <alignment horizontal="center"/>
    </xf>
    <xf borderId="43" fillId="0" fontId="18" numFmtId="14" xfId="0" applyAlignment="1" applyBorder="1" applyFont="1" applyNumberFormat="1">
      <alignment horizontal="center"/>
    </xf>
    <xf borderId="46" fillId="0" fontId="3" numFmtId="0" xfId="0" applyBorder="1" applyFont="1"/>
    <xf borderId="43" fillId="0" fontId="1" numFmtId="0" xfId="0" applyBorder="1" applyFont="1"/>
    <xf borderId="44" fillId="0" fontId="1" numFmtId="0" xfId="0" applyBorder="1" applyFont="1"/>
    <xf borderId="0" fillId="0" fontId="4" numFmtId="0" xfId="0" applyAlignment="1" applyFont="1">
      <alignment horizontal="center"/>
    </xf>
    <xf borderId="0" fillId="0" fontId="19" numFmtId="0" xfId="0" applyAlignment="1" applyFont="1">
      <alignment horizontal="center"/>
    </xf>
    <xf borderId="0" fillId="0" fontId="18" numFmtId="14" xfId="0" applyAlignment="1" applyFont="1" applyNumberFormat="1">
      <alignment horizontal="center"/>
    </xf>
    <xf borderId="0" fillId="0" fontId="18" numFmtId="0" xfId="0" applyAlignment="1" applyFont="1">
      <alignment horizontal="center"/>
    </xf>
    <xf borderId="18" fillId="6" fontId="18" numFmtId="0" xfId="0" applyAlignment="1" applyBorder="1" applyFont="1">
      <alignment horizontal="center"/>
    </xf>
    <xf borderId="32" fillId="0" fontId="20" numFmtId="0" xfId="0" applyAlignment="1" applyBorder="1" applyFont="1">
      <alignment horizontal="center"/>
    </xf>
    <xf borderId="33" fillId="0" fontId="20" numFmtId="0" xfId="0" applyAlignment="1" applyBorder="1" applyFont="1">
      <alignment horizontal="center"/>
    </xf>
    <xf borderId="34" fillId="0" fontId="20" numFmtId="0" xfId="0" applyAlignment="1" applyBorder="1" applyFont="1">
      <alignment horizontal="center"/>
    </xf>
    <xf borderId="6" fillId="0" fontId="20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47" fillId="0" fontId="20" numFmtId="0" xfId="0" applyAlignment="1" applyBorder="1" applyFont="1">
      <alignment horizontal="center"/>
    </xf>
    <xf borderId="48" fillId="0" fontId="20" numFmtId="0" xfId="0" applyAlignment="1" applyBorder="1" applyFont="1">
      <alignment horizontal="center"/>
    </xf>
    <xf borderId="49" fillId="0" fontId="3" numFmtId="0" xfId="0" applyBorder="1" applyFont="1"/>
    <xf borderId="50" fillId="0" fontId="20" numFmtId="0" xfId="0" applyAlignment="1" applyBorder="1" applyFont="1">
      <alignment horizontal="center"/>
    </xf>
    <xf borderId="51" fillId="0" fontId="20" numFmtId="0" xfId="0" applyAlignment="1" applyBorder="1" applyFont="1">
      <alignment horizontal="center"/>
    </xf>
    <xf borderId="52" fillId="0" fontId="3" numFmtId="0" xfId="0" applyBorder="1" applyFont="1"/>
    <xf borderId="26" fillId="0" fontId="19" numFmtId="0" xfId="0" applyAlignment="1" applyBorder="1" applyFont="1">
      <alignment horizontal="center"/>
    </xf>
    <xf borderId="27" fillId="0" fontId="20" numFmtId="0" xfId="0" applyAlignment="1" applyBorder="1" applyFont="1">
      <alignment horizontal="center"/>
    </xf>
    <xf borderId="27" fillId="0" fontId="21" numFmtId="0" xfId="0" applyAlignment="1" applyBorder="1" applyFont="1">
      <alignment horizontal="center"/>
    </xf>
    <xf borderId="53" fillId="0" fontId="3" numFmtId="0" xfId="0" applyBorder="1" applyFont="1"/>
    <xf borderId="39" fillId="0" fontId="19" numFmtId="0" xfId="0" applyAlignment="1" applyBorder="1" applyFont="1">
      <alignment horizontal="center"/>
    </xf>
    <xf borderId="54" fillId="6" fontId="4" numFmtId="0" xfId="0" applyBorder="1" applyFont="1"/>
    <xf borderId="22" fillId="0" fontId="20" numFmtId="0" xfId="0" applyAlignment="1" applyBorder="1" applyFont="1">
      <alignment horizontal="center"/>
    </xf>
    <xf borderId="37" fillId="0" fontId="20" numFmtId="0" xfId="0" applyAlignment="1" applyBorder="1" applyFont="1">
      <alignment horizontal="center"/>
    </xf>
    <xf borderId="22" fillId="0" fontId="19" numFmtId="0" xfId="0" applyAlignment="1" applyBorder="1" applyFont="1">
      <alignment horizontal="center"/>
    </xf>
    <xf borderId="55" fillId="4" fontId="4" numFmtId="0" xfId="0" applyBorder="1" applyFont="1"/>
    <xf borderId="24" fillId="0" fontId="20" numFmtId="0" xfId="0" applyAlignment="1" applyBorder="1" applyFont="1">
      <alignment horizontal="center"/>
    </xf>
    <xf borderId="18" fillId="7" fontId="4" numFmtId="0" xfId="0" applyBorder="1" applyFill="1" applyFont="1"/>
    <xf borderId="6" fillId="0" fontId="20" numFmtId="0" xfId="0" applyAlignment="1" applyBorder="1" applyFont="1">
      <alignment horizontal="center" vertical="center"/>
    </xf>
    <xf borderId="37" fillId="0" fontId="21" numFmtId="0" xfId="0" applyAlignment="1" applyBorder="1" applyFont="1">
      <alignment horizontal="center"/>
    </xf>
    <xf borderId="55" fillId="7" fontId="4" numFmtId="0" xfId="0" applyBorder="1" applyFont="1"/>
    <xf borderId="0" fillId="0" fontId="20" numFmtId="0" xfId="0" applyAlignment="1" applyFont="1">
      <alignment horizontal="center" vertical="center"/>
    </xf>
    <xf borderId="33" fillId="0" fontId="10" numFmtId="0" xfId="0" applyAlignment="1" applyBorder="1" applyFont="1">
      <alignment horizontal="center"/>
    </xf>
    <xf borderId="33" fillId="0" fontId="10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56" fillId="0" fontId="10" numFmtId="0" xfId="0" applyAlignment="1" applyBorder="1" applyFont="1">
      <alignment horizontal="center"/>
    </xf>
    <xf borderId="57" fillId="0" fontId="3" numFmtId="0" xfId="0" applyBorder="1" applyFont="1"/>
    <xf borderId="57" fillId="0" fontId="22" numFmtId="0" xfId="0" applyAlignment="1" applyBorder="1" applyFont="1">
      <alignment horizontal="center"/>
    </xf>
    <xf borderId="56" fillId="0" fontId="2" numFmtId="0" xfId="0" applyBorder="1" applyFont="1"/>
    <xf borderId="58" fillId="0" fontId="3" numFmtId="0" xfId="0" applyBorder="1" applyFont="1"/>
    <xf borderId="56" fillId="0" fontId="2" numFmtId="0" xfId="0" applyAlignment="1" applyBorder="1" applyFont="1">
      <alignment horizontal="center"/>
    </xf>
    <xf borderId="42" fillId="0" fontId="4" numFmtId="0" xfId="0" applyBorder="1" applyFont="1"/>
    <xf borderId="42" fillId="0" fontId="2" numFmtId="0" xfId="0" applyBorder="1" applyFont="1"/>
    <xf borderId="18" fillId="6" fontId="2" numFmtId="0" xfId="0" applyBorder="1" applyFont="1"/>
    <xf borderId="54" fillId="6" fontId="2" numFmtId="0" xfId="0" applyBorder="1" applyFont="1"/>
    <xf borderId="59" fillId="0" fontId="20" numFmtId="0" xfId="0" applyAlignment="1" applyBorder="1" applyFont="1">
      <alignment horizontal="center"/>
    </xf>
    <xf borderId="21" fillId="0" fontId="20" numFmtId="0" xfId="0" applyAlignment="1" applyBorder="1" applyFont="1">
      <alignment horizontal="center"/>
    </xf>
    <xf borderId="60" fillId="0" fontId="20" numFmtId="0" xfId="0" applyAlignment="1" applyBorder="1" applyFont="1">
      <alignment horizontal="center"/>
    </xf>
    <xf borderId="61" fillId="0" fontId="20" numFmtId="0" xfId="0" applyAlignment="1" applyBorder="1" applyFont="1">
      <alignment horizontal="center"/>
    </xf>
    <xf borderId="22" fillId="4" fontId="20" numFmtId="0" xfId="0" applyAlignment="1" applyBorder="1" applyFont="1">
      <alignment horizontal="center"/>
    </xf>
    <xf borderId="62" fillId="4" fontId="20" numFmtId="0" xfId="0" applyAlignment="1" applyBorder="1" applyFont="1">
      <alignment horizontal="center"/>
    </xf>
    <xf borderId="19" fillId="0" fontId="20" numFmtId="0" xfId="0" applyAlignment="1" applyBorder="1" applyFont="1">
      <alignment horizontal="center"/>
    </xf>
    <xf borderId="22" fillId="3" fontId="23" numFmtId="0" xfId="0" applyAlignment="1" applyBorder="1" applyFont="1">
      <alignment horizontal="center" vertical="center"/>
    </xf>
    <xf borderId="37" fillId="3" fontId="23" numFmtId="0" xfId="0" applyAlignment="1" applyBorder="1" applyFont="1">
      <alignment horizontal="center" vertical="center"/>
    </xf>
    <xf borderId="22" fillId="0" fontId="21" numFmtId="0" xfId="0" applyAlignment="1" applyBorder="1" applyFont="1">
      <alignment horizontal="center"/>
    </xf>
    <xf borderId="61" fillId="4" fontId="20" numFmtId="0" xfId="0" applyAlignment="1" applyBorder="1" applyFont="1">
      <alignment horizontal="center"/>
    </xf>
    <xf borderId="29" fillId="0" fontId="19" numFmtId="0" xfId="0" applyAlignment="1" applyBorder="1" applyFont="1">
      <alignment horizontal="center"/>
    </xf>
    <xf borderId="22" fillId="3" fontId="20" numFmtId="0" xfId="0" applyAlignment="1" applyBorder="1" applyFont="1">
      <alignment horizontal="center"/>
    </xf>
    <xf borderId="37" fillId="3" fontId="20" numFmtId="0" xfId="0" applyAlignment="1" applyBorder="1" applyFont="1">
      <alignment horizontal="center"/>
    </xf>
    <xf borderId="22" fillId="3" fontId="19" numFmtId="0" xfId="0" applyAlignment="1" applyBorder="1" applyFont="1">
      <alignment horizontal="center"/>
    </xf>
    <xf borderId="22" fillId="3" fontId="24" numFmtId="0" xfId="0" applyAlignment="1" applyBorder="1" applyFont="1">
      <alignment horizontal="center" vertical="center"/>
    </xf>
    <xf borderId="37" fillId="3" fontId="24" numFmtId="0" xfId="0" applyAlignment="1" applyBorder="1" applyFont="1">
      <alignment horizontal="center" vertical="center"/>
    </xf>
    <xf borderId="27" fillId="3" fontId="20" numFmtId="0" xfId="0" applyAlignment="1" applyBorder="1" applyFont="1">
      <alignment horizontal="center"/>
    </xf>
    <xf borderId="29" fillId="3" fontId="19" numFmtId="0" xfId="0" applyAlignment="1" applyBorder="1" applyFont="1">
      <alignment horizontal="center"/>
    </xf>
    <xf borderId="63" fillId="0" fontId="20" numFmtId="0" xfId="0" applyAlignment="1" applyBorder="1" applyFont="1">
      <alignment horizontal="center"/>
    </xf>
    <xf borderId="64" fillId="0" fontId="20" numFmtId="0" xfId="0" applyAlignment="1" applyBorder="1" applyFont="1">
      <alignment horizontal="center"/>
    </xf>
    <xf borderId="65" fillId="0" fontId="3" numFmtId="0" xfId="0" applyBorder="1" applyFont="1"/>
    <xf borderId="66" fillId="0" fontId="3" numFmtId="0" xfId="0" applyBorder="1" applyFont="1"/>
    <xf borderId="67" fillId="0" fontId="19" numFmtId="0" xfId="0" applyAlignment="1" applyBorder="1" applyFont="1">
      <alignment horizontal="center"/>
    </xf>
    <xf borderId="68" fillId="0" fontId="20" numFmtId="0" xfId="0" applyAlignment="1" applyBorder="1" applyFont="1">
      <alignment horizontal="center"/>
    </xf>
    <xf borderId="67" fillId="0" fontId="20" numFmtId="0" xfId="0" applyAlignment="1" applyBorder="1" applyFont="1">
      <alignment horizontal="center"/>
    </xf>
    <xf borderId="69" fillId="0" fontId="20" numFmtId="0" xfId="0" applyAlignment="1" applyBorder="1" applyFont="1">
      <alignment horizontal="center"/>
    </xf>
    <xf borderId="64" fillId="0" fontId="21" numFmtId="0" xfId="0" applyAlignment="1" applyBorder="1" applyFont="1">
      <alignment horizontal="center"/>
    </xf>
    <xf borderId="0" fillId="0" fontId="22" numFmtId="0" xfId="0" applyAlignment="1" applyFont="1">
      <alignment horizontal="center"/>
    </xf>
    <xf borderId="0" fillId="0" fontId="25" numFmtId="0" xfId="0" applyFont="1"/>
    <xf borderId="0" fillId="4" fontId="1" numFmtId="0" xfId="0" applyFont="1"/>
    <xf borderId="2" fillId="4" fontId="1" numFmtId="0" xfId="0" applyBorder="1" applyFont="1"/>
    <xf borderId="2" fillId="4" fontId="1" numFmtId="14" xfId="0" applyBorder="1" applyFont="1" applyNumberFormat="1"/>
    <xf borderId="3" fillId="4" fontId="1" numFmtId="164" xfId="0" applyAlignment="1" applyBorder="1" applyFont="1" applyNumberFormat="1">
      <alignment horizontal="center"/>
    </xf>
    <xf borderId="9" fillId="0" fontId="10" numFmtId="0" xfId="0" applyAlignment="1" applyBorder="1" applyFont="1">
      <alignment horizontal="center"/>
    </xf>
    <xf borderId="10" fillId="0" fontId="10" numFmtId="0" xfId="0" applyAlignment="1" applyBorder="1" applyFont="1">
      <alignment horizontal="center"/>
    </xf>
    <xf borderId="11" fillId="0" fontId="10" numFmtId="0" xfId="0" applyAlignment="1" applyBorder="1" applyFont="1">
      <alignment horizontal="center"/>
    </xf>
    <xf borderId="0" fillId="0" fontId="20" numFmtId="0" xfId="0" applyFont="1"/>
    <xf borderId="12" fillId="0" fontId="10" numFmtId="0" xfId="0" applyAlignment="1" applyBorder="1" applyFont="1">
      <alignment horizontal="center"/>
    </xf>
    <xf borderId="13" fillId="0" fontId="20" numFmtId="0" xfId="0" applyBorder="1" applyFont="1"/>
    <xf borderId="14" fillId="0" fontId="10" numFmtId="0" xfId="0" applyBorder="1" applyFont="1"/>
    <xf borderId="22" fillId="0" fontId="10" numFmtId="0" xfId="0" applyBorder="1" applyFont="1"/>
    <xf borderId="21" fillId="0" fontId="10" numFmtId="0" xfId="0" applyBorder="1" applyFont="1"/>
    <xf borderId="0" fillId="0" fontId="1" numFmtId="0" xfId="0" applyFont="1"/>
    <xf borderId="37" fillId="0" fontId="1" numFmtId="0" xfId="0" applyAlignment="1" applyBorder="1" applyFont="1">
      <alignment horizontal="center"/>
    </xf>
    <xf borderId="22" fillId="0" fontId="1" numFmtId="0" xfId="0" applyAlignment="1" applyBorder="1" applyFont="1">
      <alignment horizontal="center"/>
    </xf>
    <xf borderId="37" fillId="0" fontId="10" numFmtId="0" xfId="0" applyAlignment="1" applyBorder="1" applyFont="1">
      <alignment horizontal="center"/>
    </xf>
    <xf borderId="10" fillId="0" fontId="26" numFmtId="0" xfId="0" applyAlignment="1" applyBorder="1" applyFont="1">
      <alignment horizontal="center"/>
    </xf>
    <xf borderId="6" fillId="0" fontId="6" numFmtId="0" xfId="0" applyAlignment="1" applyBorder="1" applyFont="1">
      <alignment horizontal="center" vertical="center"/>
    </xf>
    <xf borderId="32" fillId="0" fontId="10" numFmtId="0" xfId="0" applyBorder="1" applyFont="1"/>
    <xf borderId="34" fillId="0" fontId="13" numFmtId="0" xfId="0" applyAlignment="1" applyBorder="1" applyFont="1">
      <alignment horizontal="center" vertical="center"/>
    </xf>
    <xf borderId="6" fillId="0" fontId="13" numFmtId="0" xfId="0" applyAlignment="1" applyBorder="1" applyFont="1">
      <alignment horizontal="center" vertical="center"/>
    </xf>
    <xf borderId="33" fillId="0" fontId="5" numFmtId="0" xfId="0" applyAlignment="1" applyBorder="1" applyFont="1">
      <alignment horizontal="center"/>
    </xf>
    <xf borderId="32" fillId="0" fontId="10" numFmtId="0" xfId="0" applyAlignment="1" applyBorder="1" applyFont="1">
      <alignment horizontal="center"/>
    </xf>
    <xf borderId="4" fillId="0" fontId="10" numFmtId="0" xfId="0" applyAlignment="1" applyBorder="1" applyFont="1">
      <alignment horizontal="center"/>
    </xf>
    <xf borderId="0" fillId="0" fontId="2" numFmtId="0" xfId="0" applyFont="1"/>
    <xf borderId="22" fillId="4" fontId="5" numFmtId="0" xfId="0" applyBorder="1" applyFont="1"/>
    <xf borderId="23" fillId="4" fontId="5" numFmtId="0" xfId="0" applyBorder="1" applyFont="1"/>
    <xf borderId="21" fillId="0" fontId="5" numFmtId="0" xfId="0" applyBorder="1" applyFont="1"/>
    <xf borderId="22" fillId="0" fontId="5" numFmtId="0" xfId="0" applyBorder="1" applyFont="1"/>
    <xf borderId="31" fillId="0" fontId="13" numFmtId="0" xfId="0" applyAlignment="1" applyBorder="1" applyFont="1">
      <alignment horizontal="center" vertical="center"/>
    </xf>
    <xf borderId="41" fillId="0" fontId="5" numFmtId="0" xfId="0" applyBorder="1" applyFont="1"/>
    <xf borderId="1" fillId="4" fontId="5" numFmtId="0" xfId="0" applyBorder="1" applyFont="1"/>
    <xf borderId="2" fillId="4" fontId="5" numFmtId="0" xfId="0" applyBorder="1" applyFont="1"/>
    <xf borderId="2" fillId="4" fontId="5" numFmtId="14" xfId="0" applyBorder="1" applyFont="1" applyNumberFormat="1"/>
    <xf borderId="3" fillId="4" fontId="5" numFmtId="14" xfId="0" applyAlignment="1" applyBorder="1" applyFont="1" applyNumberFormat="1">
      <alignment horizontal="center"/>
    </xf>
    <xf borderId="21" fillId="0" fontId="4" numFmtId="0" xfId="0" applyBorder="1" applyFont="1"/>
    <xf borderId="21" fillId="0" fontId="27" numFmtId="0" xfId="0" applyBorder="1" applyFont="1"/>
    <xf borderId="22" fillId="0" fontId="27" numFmtId="0" xfId="0" applyBorder="1" applyFont="1"/>
    <xf borderId="6" fillId="0" fontId="5" numFmtId="0" xfId="0" applyAlignment="1" applyBorder="1" applyFont="1">
      <alignment horizontal="center" vertical="center"/>
    </xf>
    <xf borderId="32" fillId="0" fontId="27" numFmtId="0" xfId="0" applyBorder="1" applyFont="1"/>
    <xf borderId="33" fillId="0" fontId="27" numFmtId="0" xfId="0" applyAlignment="1" applyBorder="1" applyFont="1">
      <alignment horizontal="center"/>
    </xf>
    <xf borderId="34" fillId="0" fontId="10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vertical="center"/>
    </xf>
    <xf borderId="32" fillId="0" fontId="27" numFmtId="0" xfId="0" applyAlignment="1" applyBorder="1" applyFont="1">
      <alignment horizontal="center"/>
    </xf>
    <xf borderId="4" fillId="0" fontId="27" numFmtId="0" xfId="0" applyAlignment="1" applyBorder="1" applyFont="1">
      <alignment horizontal="center"/>
    </xf>
    <xf borderId="33" fillId="5" fontId="2" numFmtId="0" xfId="0" applyAlignment="1" applyBorder="1" applyFont="1">
      <alignment horizontal="center"/>
    </xf>
    <xf borderId="33" fillId="5" fontId="2" numFmtId="4" xfId="0" applyAlignment="1" applyBorder="1" applyFont="1" applyNumberFormat="1">
      <alignment horizontal="center"/>
    </xf>
    <xf borderId="43" fillId="0" fontId="1" numFmtId="0" xfId="0" applyAlignment="1" applyBorder="1" applyFont="1">
      <alignment horizontal="center" readingOrder="0"/>
    </xf>
    <xf borderId="19" fillId="0" fontId="4" numFmtId="0" xfId="0" applyAlignment="1" applyBorder="1" applyFont="1">
      <alignment horizontal="center"/>
    </xf>
    <xf borderId="45" fillId="0" fontId="19" numFmtId="0" xfId="0" applyAlignment="1" applyBorder="1" applyFont="1">
      <alignment horizontal="center"/>
    </xf>
    <xf borderId="32" fillId="0" fontId="4" numFmtId="0" xfId="0" applyAlignment="1" applyBorder="1" applyFont="1">
      <alignment horizontal="center"/>
    </xf>
    <xf borderId="47" fillId="0" fontId="4" numFmtId="0" xfId="0" applyAlignment="1" applyBorder="1" applyFont="1">
      <alignment horizontal="center"/>
    </xf>
    <xf borderId="27" fillId="0" fontId="4" numFmtId="0" xfId="0" applyAlignment="1" applyBorder="1" applyFont="1">
      <alignment horizontal="center"/>
    </xf>
    <xf borderId="48" fillId="0" fontId="4" numFmtId="0" xfId="0" applyAlignment="1" applyBorder="1" applyFont="1">
      <alignment horizontal="center"/>
    </xf>
    <xf borderId="39" fillId="0" fontId="17" numFmtId="0" xfId="0" applyAlignment="1" applyBorder="1" applyFont="1">
      <alignment horizontal="center"/>
    </xf>
    <xf borderId="18" fillId="8" fontId="4" numFmtId="0" xfId="0" applyBorder="1" applyFill="1" applyFont="1"/>
    <xf borderId="6" fillId="0" fontId="4" numFmtId="0" xfId="0" applyAlignment="1" applyBorder="1" applyFont="1">
      <alignment horizontal="center" vertical="center"/>
    </xf>
    <xf borderId="37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shrinkToFit="0" vertical="top" wrapText="1"/>
    </xf>
    <xf borderId="10" fillId="0" fontId="2" numFmtId="0" xfId="0" applyBorder="1" applyFont="1"/>
    <xf borderId="33" fillId="0" fontId="4" numFmtId="0" xfId="0" applyBorder="1" applyFont="1"/>
    <xf borderId="70" fillId="0" fontId="2" numFmtId="0" xfId="0" applyAlignment="1" applyBorder="1" applyFont="1">
      <alignment horizontal="center"/>
    </xf>
    <xf borderId="42" fillId="0" fontId="3" numFmtId="0" xfId="0" applyBorder="1" applyFont="1"/>
    <xf borderId="33" fillId="0" fontId="27" numFmtId="0" xfId="0" applyBorder="1" applyFont="1"/>
    <xf borderId="4" fillId="0" fontId="22" numFmtId="0" xfId="0" applyAlignment="1" applyBorder="1" applyFont="1">
      <alignment horizontal="center"/>
    </xf>
    <xf borderId="71" fillId="0" fontId="2" numFmtId="0" xfId="0" applyBorder="1" applyFont="1"/>
    <xf borderId="59" fillId="0" fontId="4" numFmtId="0" xfId="0" applyAlignment="1" applyBorder="1" applyFont="1">
      <alignment horizontal="center"/>
    </xf>
    <xf borderId="21" fillId="0" fontId="4" numFmtId="0" xfId="0" applyAlignment="1" applyBorder="1" applyFont="1">
      <alignment horizontal="center"/>
    </xf>
    <xf borderId="72" fillId="0" fontId="4" numFmtId="0" xfId="0" applyAlignment="1" applyBorder="1" applyFont="1">
      <alignment horizontal="center"/>
    </xf>
    <xf borderId="61" fillId="0" fontId="4" numFmtId="0" xfId="0" applyAlignment="1" applyBorder="1" applyFont="1">
      <alignment horizontal="center"/>
    </xf>
    <xf borderId="22" fillId="4" fontId="4" numFmtId="0" xfId="0" applyAlignment="1" applyBorder="1" applyFont="1">
      <alignment horizontal="center"/>
    </xf>
    <xf borderId="22" fillId="0" fontId="4" numFmtId="0" xfId="0" applyAlignment="1" applyBorder="1" applyFont="1">
      <alignment horizontal="center"/>
    </xf>
    <xf borderId="62" fillId="0" fontId="4" numFmtId="0" xfId="0" applyAlignment="1" applyBorder="1" applyFont="1">
      <alignment horizontal="center"/>
    </xf>
    <xf borderId="61" fillId="4" fontId="4" numFmtId="0" xfId="0" applyAlignment="1" applyBorder="1" applyFont="1">
      <alignment horizontal="center"/>
    </xf>
    <xf borderId="18" fillId="8" fontId="4" numFmtId="0" xfId="0" applyAlignment="1" applyBorder="1" applyFont="1">
      <alignment horizontal="center"/>
    </xf>
    <xf borderId="63" fillId="0" fontId="4" numFmtId="0" xfId="0" applyAlignment="1" applyBorder="1" applyFont="1">
      <alignment horizontal="center"/>
    </xf>
    <xf borderId="64" fillId="0" fontId="4" numFmtId="0" xfId="0" applyAlignment="1" applyBorder="1" applyFont="1">
      <alignment horizontal="center"/>
    </xf>
    <xf borderId="67" fillId="0" fontId="17" numFmtId="0" xfId="0" applyAlignment="1" applyBorder="1" applyFont="1">
      <alignment horizontal="center"/>
    </xf>
    <xf borderId="68" fillId="0" fontId="4" numFmtId="0" xfId="0" applyAlignment="1" applyBorder="1" applyFont="1">
      <alignment horizontal="center"/>
    </xf>
    <xf borderId="67" fillId="0" fontId="4" numFmtId="0" xfId="0" applyAlignment="1" applyBorder="1" applyFont="1">
      <alignment horizontal="center"/>
    </xf>
    <xf borderId="69" fillId="0" fontId="4" numFmtId="0" xfId="0" applyAlignment="1" applyBorder="1" applyFont="1">
      <alignment horizontal="center"/>
    </xf>
    <xf borderId="22" fillId="4" fontId="7" numFmtId="0" xfId="0" applyAlignment="1" applyBorder="1" applyFont="1">
      <alignment vertical="center"/>
    </xf>
    <xf borderId="0" fillId="0" fontId="2" numFmtId="0" xfId="0" applyAlignment="1" applyFont="1">
      <alignment vertical="top"/>
    </xf>
    <xf borderId="56" fillId="0" fontId="22" numFmtId="0" xfId="0" applyAlignment="1" applyBorder="1" applyFont="1">
      <alignment horizontal="center"/>
    </xf>
    <xf borderId="56" fillId="0" fontId="27" numFmtId="0" xfId="0" applyBorder="1" applyFont="1"/>
    <xf borderId="73" fillId="0" fontId="4" numFmtId="0" xfId="0" applyAlignment="1" applyBorder="1" applyFont="1">
      <alignment horizontal="center"/>
    </xf>
    <xf borderId="7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162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162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149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36</xdr:col>
      <xdr:colOff>0</xdr:colOff>
      <xdr:row>149</xdr:row>
      <xdr:rowOff>0</xdr:rowOff>
    </xdr:from>
    <xdr:ext cx="333375" cy="352425"/>
    <xdr:sp>
      <xdr:nvSpPr>
        <xdr:cNvPr descr="http://www.barcode-generator.de/barcodes/afd97e4b-1e03-48b3-974f-9e4a52185bdf.gif" id="4" name="Shape 4"/>
        <xdr:cNvSpPr/>
      </xdr:nvSpPr>
      <xdr:spPr>
        <a:xfrm>
          <a:off x="5184075" y="3608550"/>
          <a:ext cx="323850" cy="3429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36</xdr:col>
      <xdr:colOff>0</xdr:colOff>
      <xdr:row>149</xdr:row>
      <xdr:rowOff>0</xdr:rowOff>
    </xdr:from>
    <xdr:ext cx="333375" cy="352425"/>
    <xdr:sp>
      <xdr:nvSpPr>
        <xdr:cNvPr descr="http://www.barcode-generator.de/barcodes/afd97e4b-1e03-48b3-974f-9e4a52185bdf.gif" id="4" name="Shape 4"/>
        <xdr:cNvSpPr/>
      </xdr:nvSpPr>
      <xdr:spPr>
        <a:xfrm>
          <a:off x="5184075" y="3608550"/>
          <a:ext cx="323850" cy="3429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150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149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149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149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149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149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28575</xdr:colOff>
      <xdr:row>158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32</xdr:col>
      <xdr:colOff>0</xdr:colOff>
      <xdr:row>156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34</xdr:col>
      <xdr:colOff>0</xdr:colOff>
      <xdr:row>150</xdr:row>
      <xdr:rowOff>0</xdr:rowOff>
    </xdr:from>
    <xdr:ext cx="333375" cy="352425"/>
    <xdr:sp>
      <xdr:nvSpPr>
        <xdr:cNvPr descr="http://www.barcode-generator.de/barcodes/afd97e4b-1e03-48b3-974f-9e4a52185bdf.gif" id="4" name="Shape 4"/>
        <xdr:cNvSpPr/>
      </xdr:nvSpPr>
      <xdr:spPr>
        <a:xfrm>
          <a:off x="5184075" y="3608550"/>
          <a:ext cx="323850" cy="3429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31</xdr:col>
      <xdr:colOff>0</xdr:colOff>
      <xdr:row>159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27</xdr:col>
      <xdr:colOff>0</xdr:colOff>
      <xdr:row>159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32</xdr:col>
      <xdr:colOff>0</xdr:colOff>
      <xdr:row>158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35</xdr:col>
      <xdr:colOff>0</xdr:colOff>
      <xdr:row>145</xdr:row>
      <xdr:rowOff>0</xdr:rowOff>
    </xdr:from>
    <xdr:ext cx="333375" cy="352425"/>
    <xdr:sp>
      <xdr:nvSpPr>
        <xdr:cNvPr descr="http://www.barcode-generator.de/barcodes/afd97e4b-1e03-48b3-974f-9e4a52185bdf.gif" id="4" name="Shape 4"/>
        <xdr:cNvSpPr/>
      </xdr:nvSpPr>
      <xdr:spPr>
        <a:xfrm>
          <a:off x="5184075" y="3608550"/>
          <a:ext cx="323850" cy="3429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32</xdr:col>
      <xdr:colOff>0</xdr:colOff>
      <xdr:row>153</xdr:row>
      <xdr:rowOff>0</xdr:rowOff>
    </xdr:from>
    <xdr:ext cx="333375" cy="333375"/>
    <xdr:sp>
      <xdr:nvSpPr>
        <xdr:cNvPr descr="Barcode" id="5" name="Shape 5"/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158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32</xdr:col>
      <xdr:colOff>0</xdr:colOff>
      <xdr:row>36</xdr:row>
      <xdr:rowOff>123825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33</xdr:col>
      <xdr:colOff>0</xdr:colOff>
      <xdr:row>35</xdr:row>
      <xdr:rowOff>0</xdr:rowOff>
    </xdr:from>
    <xdr:ext cx="333375" cy="228600"/>
    <xdr:sp>
      <xdr:nvSpPr>
        <xdr:cNvPr descr="http://www.barcode-generator.de/barcodes/0b150f2e-b2b5-416a-9737-d1963a087fa7.gif" id="7" name="Shape 7"/>
        <xdr:cNvSpPr/>
      </xdr:nvSpPr>
      <xdr:spPr>
        <a:xfrm>
          <a:off x="5184075" y="3670463"/>
          <a:ext cx="323850" cy="219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45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39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33</xdr:col>
      <xdr:colOff>0</xdr:colOff>
      <xdr:row>24</xdr:row>
      <xdr:rowOff>0</xdr:rowOff>
    </xdr:from>
    <xdr:ext cx="333375" cy="247650"/>
    <xdr:sp>
      <xdr:nvSpPr>
        <xdr:cNvPr descr="http://www.barcode-generator.de/barcodes/0b150f2e-b2b5-416a-9737-d1963a087fa7.gif" id="8" name="Shape 8"/>
        <xdr:cNvSpPr/>
      </xdr:nvSpPr>
      <xdr:spPr>
        <a:xfrm>
          <a:off x="5184075" y="3660938"/>
          <a:ext cx="323850" cy="238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47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47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47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46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23</xdr:col>
      <xdr:colOff>323850</xdr:colOff>
      <xdr:row>46</xdr:row>
      <xdr:rowOff>57150</xdr:rowOff>
    </xdr:from>
    <xdr:ext cx="342900" cy="238125"/>
    <xdr:sp>
      <xdr:nvSpPr>
        <xdr:cNvPr descr="http://www.barcode-generator.de/barcodes/0b150f2e-b2b5-416a-9737-d1963a087fa7.gif" id="9" name="Shape 9"/>
        <xdr:cNvSpPr/>
      </xdr:nvSpPr>
      <xdr:spPr>
        <a:xfrm>
          <a:off x="5179313" y="3665700"/>
          <a:ext cx="333375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46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46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46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47625</xdr:colOff>
      <xdr:row>46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40</xdr:col>
      <xdr:colOff>0</xdr:colOff>
      <xdr:row>36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34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34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34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37</xdr:col>
      <xdr:colOff>0</xdr:colOff>
      <xdr:row>13</xdr:row>
      <xdr:rowOff>0</xdr:rowOff>
    </xdr:from>
    <xdr:ext cx="333375" cy="247650"/>
    <xdr:sp>
      <xdr:nvSpPr>
        <xdr:cNvPr descr="http://www.barcode-generator.de/barcodes/0b150f2e-b2b5-416a-9737-d1963a087fa7.gif" id="8" name="Shape 8"/>
        <xdr:cNvSpPr/>
      </xdr:nvSpPr>
      <xdr:spPr>
        <a:xfrm>
          <a:off x="5184075" y="3660938"/>
          <a:ext cx="323850" cy="238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40</xdr:col>
      <xdr:colOff>0</xdr:colOff>
      <xdr:row>27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157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157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144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144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34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34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34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36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46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314325</xdr:colOff>
      <xdr:row>1</xdr:row>
      <xdr:rowOff>0</xdr:rowOff>
    </xdr:from>
    <xdr:ext cx="333375" cy="333375"/>
    <xdr:sp>
      <xdr:nvSpPr>
        <xdr:cNvPr descr="Barcode" id="5" name="Shape 5"/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1</xdr:row>
      <xdr:rowOff>0</xdr:rowOff>
    </xdr:from>
    <xdr:ext cx="333375" cy="333375"/>
    <xdr:sp>
      <xdr:nvSpPr>
        <xdr:cNvPr descr="Barcode" id="5" name="Shape 5"/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36</xdr:col>
      <xdr:colOff>0</xdr:colOff>
      <xdr:row>1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36</xdr:col>
      <xdr:colOff>0</xdr:colOff>
      <xdr:row>1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36</xdr:col>
      <xdr:colOff>0</xdr:colOff>
      <xdr:row>1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314325</xdr:colOff>
      <xdr:row>38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38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61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61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61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61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47625</xdr:colOff>
      <xdr:row>61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61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46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40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48</xdr:row>
      <xdr:rowOff>0</xdr:rowOff>
    </xdr:from>
    <xdr:ext cx="333375" cy="323850"/>
    <xdr:sp>
      <xdr:nvSpPr>
        <xdr:cNvPr descr="http://www.barcode-generator.de/barcodes/4dd139fd-25b9-4e26-aaca-554de1ea5882.gif" id="11" name="Shape 11"/>
        <xdr:cNvSpPr/>
      </xdr:nvSpPr>
      <xdr:spPr>
        <a:xfrm>
          <a:off x="5184075" y="3622838"/>
          <a:ext cx="32385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48</xdr:row>
      <xdr:rowOff>0</xdr:rowOff>
    </xdr:from>
    <xdr:ext cx="333375" cy="323850"/>
    <xdr:sp>
      <xdr:nvSpPr>
        <xdr:cNvPr descr="http://www.barcode-generator.de/barcodes/4dd139fd-25b9-4e26-aaca-554de1ea5882.gif" id="11" name="Shape 11"/>
        <xdr:cNvSpPr/>
      </xdr:nvSpPr>
      <xdr:spPr>
        <a:xfrm>
          <a:off x="5184075" y="3622838"/>
          <a:ext cx="32385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48</xdr:row>
      <xdr:rowOff>0</xdr:rowOff>
    </xdr:from>
    <xdr:ext cx="333375" cy="323850"/>
    <xdr:sp>
      <xdr:nvSpPr>
        <xdr:cNvPr descr="http://www.barcode-generator.de/barcodes/4dd139fd-25b9-4e26-aaca-554de1ea5882.gif" id="11" name="Shape 11"/>
        <xdr:cNvSpPr/>
      </xdr:nvSpPr>
      <xdr:spPr>
        <a:xfrm>
          <a:off x="5184075" y="3622838"/>
          <a:ext cx="32385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23</xdr:col>
      <xdr:colOff>323850</xdr:colOff>
      <xdr:row>47</xdr:row>
      <xdr:rowOff>57150</xdr:rowOff>
    </xdr:from>
    <xdr:ext cx="314325" cy="228600"/>
    <xdr:sp>
      <xdr:nvSpPr>
        <xdr:cNvPr descr="http://www.barcode-generator.de/barcodes/4dd139fd-25b9-4e26-aaca-554de1ea5882.gif" id="12" name="Shape 12"/>
        <xdr:cNvSpPr/>
      </xdr:nvSpPr>
      <xdr:spPr>
        <a:xfrm>
          <a:off x="5193600" y="3670463"/>
          <a:ext cx="304800" cy="219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35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35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35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35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35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35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38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314325</xdr:colOff>
      <xdr:row>38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38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314325</xdr:colOff>
      <xdr:row>38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38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314325</xdr:colOff>
      <xdr:row>1</xdr:row>
      <xdr:rowOff>0</xdr:rowOff>
    </xdr:from>
    <xdr:ext cx="333375" cy="333375"/>
    <xdr:sp>
      <xdr:nvSpPr>
        <xdr:cNvPr descr="Barcode" id="5" name="Shape 5"/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1</xdr:row>
      <xdr:rowOff>0</xdr:rowOff>
    </xdr:from>
    <xdr:ext cx="333375" cy="333375"/>
    <xdr:sp>
      <xdr:nvSpPr>
        <xdr:cNvPr descr="Barcode" id="5" name="Shape 5"/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36</xdr:col>
      <xdr:colOff>0</xdr:colOff>
      <xdr:row>1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36</xdr:col>
      <xdr:colOff>0</xdr:colOff>
      <xdr:row>1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36</xdr:col>
      <xdr:colOff>0</xdr:colOff>
      <xdr:row>1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314325</xdr:colOff>
      <xdr:row>36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36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47625</xdr:colOff>
      <xdr:row>39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46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40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48</xdr:row>
      <xdr:rowOff>0</xdr:rowOff>
    </xdr:from>
    <xdr:ext cx="333375" cy="323850"/>
    <xdr:sp>
      <xdr:nvSpPr>
        <xdr:cNvPr descr="http://www.barcode-generator.de/barcodes/4dd139fd-25b9-4e26-aaca-554de1ea5882.gif" id="11" name="Shape 11"/>
        <xdr:cNvSpPr/>
      </xdr:nvSpPr>
      <xdr:spPr>
        <a:xfrm>
          <a:off x="5184075" y="3622838"/>
          <a:ext cx="32385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48</xdr:row>
      <xdr:rowOff>0</xdr:rowOff>
    </xdr:from>
    <xdr:ext cx="333375" cy="323850"/>
    <xdr:sp>
      <xdr:nvSpPr>
        <xdr:cNvPr descr="http://www.barcode-generator.de/barcodes/4dd139fd-25b9-4e26-aaca-554de1ea5882.gif" id="11" name="Shape 11"/>
        <xdr:cNvSpPr/>
      </xdr:nvSpPr>
      <xdr:spPr>
        <a:xfrm>
          <a:off x="5184075" y="3622838"/>
          <a:ext cx="32385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48</xdr:row>
      <xdr:rowOff>0</xdr:rowOff>
    </xdr:from>
    <xdr:ext cx="333375" cy="323850"/>
    <xdr:sp>
      <xdr:nvSpPr>
        <xdr:cNvPr descr="http://www.barcode-generator.de/barcodes/4dd139fd-25b9-4e26-aaca-554de1ea5882.gif" id="11" name="Shape 11"/>
        <xdr:cNvSpPr/>
      </xdr:nvSpPr>
      <xdr:spPr>
        <a:xfrm>
          <a:off x="5184075" y="3622838"/>
          <a:ext cx="32385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23</xdr:col>
      <xdr:colOff>323850</xdr:colOff>
      <xdr:row>47</xdr:row>
      <xdr:rowOff>57150</xdr:rowOff>
    </xdr:from>
    <xdr:ext cx="314325" cy="228600"/>
    <xdr:sp>
      <xdr:nvSpPr>
        <xdr:cNvPr descr="http://www.barcode-generator.de/barcodes/4dd139fd-25b9-4e26-aaca-554de1ea5882.gif" id="12" name="Shape 12"/>
        <xdr:cNvSpPr/>
      </xdr:nvSpPr>
      <xdr:spPr>
        <a:xfrm>
          <a:off x="5193600" y="3670463"/>
          <a:ext cx="304800" cy="219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35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35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35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35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35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35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38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37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314325</xdr:colOff>
      <xdr:row>92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92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314325</xdr:colOff>
      <xdr:row>147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147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0</xdr:colOff>
      <xdr:row>99</xdr:row>
      <xdr:rowOff>0</xdr:rowOff>
    </xdr:from>
    <xdr:ext cx="2124075" cy="723900"/>
    <xdr:sp>
      <xdr:nvSpPr>
        <xdr:cNvPr descr="https://www.barcode-generator.de/Generate_Barcode" id="13" name="Shape 13"/>
        <xdr:cNvSpPr/>
      </xdr:nvSpPr>
      <xdr:spPr>
        <a:xfrm>
          <a:off x="4288725" y="3422813"/>
          <a:ext cx="2114550" cy="714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0</xdr:colOff>
      <xdr:row>97</xdr:row>
      <xdr:rowOff>0</xdr:rowOff>
    </xdr:from>
    <xdr:ext cx="2124075" cy="723900"/>
    <xdr:sp>
      <xdr:nvSpPr>
        <xdr:cNvPr descr="https://www.barcode-generator.de/Generate_Barcode" id="13" name="Shape 13"/>
        <xdr:cNvSpPr/>
      </xdr:nvSpPr>
      <xdr:spPr>
        <a:xfrm>
          <a:off x="4288725" y="3422813"/>
          <a:ext cx="2114550" cy="714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38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314325</xdr:colOff>
      <xdr:row>81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81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37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333375" cy="247650"/>
    <xdr:sp>
      <xdr:nvSpPr>
        <xdr:cNvPr descr="http://www.barcode-generator.de/barcodes/0b150f2e-b2b5-416a-9737-d1963a087fa7.gif" id="8" name="Shape 8"/>
        <xdr:cNvSpPr/>
      </xdr:nvSpPr>
      <xdr:spPr>
        <a:xfrm>
          <a:off x="5184075" y="3660938"/>
          <a:ext cx="323850" cy="238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333375" cy="247650"/>
    <xdr:sp>
      <xdr:nvSpPr>
        <xdr:cNvPr descr="http://www.barcode-generator.de/barcodes/0b150f2e-b2b5-416a-9737-d1963a087fa7.gif" id="8" name="Shape 8"/>
        <xdr:cNvSpPr/>
      </xdr:nvSpPr>
      <xdr:spPr>
        <a:xfrm>
          <a:off x="5184075" y="3660938"/>
          <a:ext cx="323850" cy="238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333375" cy="247650"/>
    <xdr:sp>
      <xdr:nvSpPr>
        <xdr:cNvPr descr="http://www.barcode-generator.de/barcodes/0b150f2e-b2b5-416a-9737-d1963a087fa7.gif" id="8" name="Shape 8"/>
        <xdr:cNvSpPr/>
      </xdr:nvSpPr>
      <xdr:spPr>
        <a:xfrm>
          <a:off x="5184075" y="3660938"/>
          <a:ext cx="323850" cy="238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37</xdr:row>
      <xdr:rowOff>0</xdr:rowOff>
    </xdr:from>
    <xdr:ext cx="333375" cy="238125"/>
    <xdr:sp>
      <xdr:nvSpPr>
        <xdr:cNvPr descr="http://www.barcode-generator.de/barcodes/0b150f2e-b2b5-416a-9737-d1963a087fa7.gif" id="6" name="Shape 6"/>
        <xdr:cNvSpPr/>
      </xdr:nvSpPr>
      <xdr:spPr>
        <a:xfrm>
          <a:off x="5184075" y="3665700"/>
          <a:ext cx="32385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333375" cy="247650"/>
    <xdr:sp>
      <xdr:nvSpPr>
        <xdr:cNvPr descr="http://www.barcode-generator.de/barcodes/0b150f2e-b2b5-416a-9737-d1963a087fa7.gif" id="8" name="Shape 8"/>
        <xdr:cNvSpPr/>
      </xdr:nvSpPr>
      <xdr:spPr>
        <a:xfrm>
          <a:off x="5184075" y="3660938"/>
          <a:ext cx="323850" cy="238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333375" cy="247650"/>
    <xdr:sp>
      <xdr:nvSpPr>
        <xdr:cNvPr descr="http://www.barcode-generator.de/barcodes/0b150f2e-b2b5-416a-9737-d1963a087fa7.gif" id="8" name="Shape 8"/>
        <xdr:cNvSpPr/>
      </xdr:nvSpPr>
      <xdr:spPr>
        <a:xfrm>
          <a:off x="5184075" y="3660938"/>
          <a:ext cx="323850" cy="238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36</xdr:col>
      <xdr:colOff>0</xdr:colOff>
      <xdr:row>31</xdr:row>
      <xdr:rowOff>0</xdr:rowOff>
    </xdr:from>
    <xdr:ext cx="333375" cy="247650"/>
    <xdr:sp>
      <xdr:nvSpPr>
        <xdr:cNvPr descr="http://www.barcode-generator.de/barcodes/0b150f2e-b2b5-416a-9737-d1963a087fa7.gif" id="8" name="Shape 8"/>
        <xdr:cNvSpPr/>
      </xdr:nvSpPr>
      <xdr:spPr>
        <a:xfrm>
          <a:off x="5184075" y="3660938"/>
          <a:ext cx="323850" cy="238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37</xdr:row>
      <xdr:rowOff>0</xdr:rowOff>
    </xdr:from>
    <xdr:ext cx="333375" cy="295275"/>
    <xdr:sp>
      <xdr:nvSpPr>
        <xdr:cNvPr descr="http://www.barcode-generator.de/barcodes/e534bc8e-0395-4ee6-b160-7d73efdf29bb.gif" id="14" name="Shape 14"/>
        <xdr:cNvSpPr/>
      </xdr:nvSpPr>
      <xdr:spPr>
        <a:xfrm>
          <a:off x="5184075" y="3637125"/>
          <a:ext cx="32385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314325</xdr:colOff>
      <xdr:row>92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92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314325</xdr:colOff>
      <xdr:row>147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147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0</xdr:colOff>
      <xdr:row>99</xdr:row>
      <xdr:rowOff>0</xdr:rowOff>
    </xdr:from>
    <xdr:ext cx="2124075" cy="790575"/>
    <xdr:sp>
      <xdr:nvSpPr>
        <xdr:cNvPr descr="https://www.barcode-generator.de/Generate_Barcode" id="15" name="Shape 15"/>
        <xdr:cNvSpPr/>
      </xdr:nvSpPr>
      <xdr:spPr>
        <a:xfrm>
          <a:off x="4288725" y="3389475"/>
          <a:ext cx="2114550" cy="7810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0</xdr:colOff>
      <xdr:row>97</xdr:row>
      <xdr:rowOff>0</xdr:rowOff>
    </xdr:from>
    <xdr:ext cx="2124075" cy="790575"/>
    <xdr:sp>
      <xdr:nvSpPr>
        <xdr:cNvPr descr="https://www.barcode-generator.de/Generate_Barcode" id="15" name="Shape 15"/>
        <xdr:cNvSpPr/>
      </xdr:nvSpPr>
      <xdr:spPr>
        <a:xfrm>
          <a:off x="4288725" y="3389475"/>
          <a:ext cx="2114550" cy="7810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33375" cy="295275"/>
    <xdr:sp>
      <xdr:nvSpPr>
        <xdr:cNvPr descr="http://www.barcode-generator.de/barcodes/e534bc8e-0395-4ee6-b160-7d73efdf29bb.gif" id="14" name="Shape 14"/>
        <xdr:cNvSpPr/>
      </xdr:nvSpPr>
      <xdr:spPr>
        <a:xfrm>
          <a:off x="5184075" y="3637125"/>
          <a:ext cx="32385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38</xdr:row>
      <xdr:rowOff>0</xdr:rowOff>
    </xdr:from>
    <xdr:ext cx="333375" cy="295275"/>
    <xdr:sp>
      <xdr:nvSpPr>
        <xdr:cNvPr descr="http://www.barcode-generator.de/barcodes/e534bc8e-0395-4ee6-b160-7d73efdf29bb.gif" id="14" name="Shape 14"/>
        <xdr:cNvSpPr/>
      </xdr:nvSpPr>
      <xdr:spPr>
        <a:xfrm>
          <a:off x="5184075" y="3637125"/>
          <a:ext cx="32385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314325</xdr:colOff>
      <xdr:row>1</xdr:row>
      <xdr:rowOff>0</xdr:rowOff>
    </xdr:from>
    <xdr:ext cx="333375" cy="333375"/>
    <xdr:sp>
      <xdr:nvSpPr>
        <xdr:cNvPr descr="Barcode" id="5" name="Shape 5"/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1</xdr:row>
      <xdr:rowOff>0</xdr:rowOff>
    </xdr:from>
    <xdr:ext cx="333375" cy="333375"/>
    <xdr:sp>
      <xdr:nvSpPr>
        <xdr:cNvPr descr="Barcode" id="5" name="Shape 5"/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36</xdr:col>
      <xdr:colOff>0</xdr:colOff>
      <xdr:row>1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36</xdr:col>
      <xdr:colOff>0</xdr:colOff>
      <xdr:row>1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36</xdr:col>
      <xdr:colOff>0</xdr:colOff>
      <xdr:row>1</xdr:row>
      <xdr:rowOff>0</xdr:rowOff>
    </xdr:from>
    <xdr:ext cx="333375" cy="342900"/>
    <xdr:sp>
      <xdr:nvSpPr>
        <xdr:cNvPr descr="http://www.barcode-generator.de/barcodes/afd97e4b-1e03-48b3-974f-9e4a52185bdf.gif" id="3" name="Shape 3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314325</xdr:colOff>
      <xdr:row>38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38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36</xdr:col>
      <xdr:colOff>0</xdr:colOff>
      <xdr:row>32</xdr:row>
      <xdr:rowOff>0</xdr:rowOff>
    </xdr:from>
    <xdr:ext cx="342900" cy="342900"/>
    <xdr:sp>
      <xdr:nvSpPr>
        <xdr:cNvPr descr="Barcode" id="10" name="Shape 10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0.71"/>
    <col customWidth="1" min="3" max="5" width="8.71"/>
    <col customWidth="1" min="6" max="6" width="6.71"/>
    <col customWidth="1" min="7" max="7" width="5.71"/>
    <col customWidth="1" min="8" max="8" width="12.71"/>
    <col customWidth="1" min="9" max="10" width="7.29"/>
    <col customWidth="1" min="11" max="13" width="5.71"/>
    <col customWidth="1" min="14" max="14" width="6.14"/>
    <col customWidth="1" min="15" max="16" width="3.57"/>
    <col customWidth="1" min="17" max="17" width="3.71"/>
    <col customWidth="1" min="18" max="18" width="12.86"/>
    <col customWidth="1" min="19" max="19" width="11.0"/>
    <col customWidth="1" min="20" max="22" width="8.71"/>
    <col customWidth="1" min="23" max="23" width="6.57"/>
    <col customWidth="1" min="24" max="24" width="5.71"/>
    <col customWidth="1" min="25" max="25" width="12.86"/>
    <col customWidth="1" min="26" max="31" width="5.71"/>
    <col customWidth="1" min="32" max="41" width="8.71"/>
  </cols>
  <sheetData>
    <row r="2" ht="22.5" customHeight="1">
      <c r="A2" s="1" t="s">
        <v>0</v>
      </c>
      <c r="B2" s="2"/>
      <c r="C2" s="2"/>
      <c r="D2" s="3"/>
      <c r="E2" s="3"/>
      <c r="F2" s="3"/>
      <c r="G2" s="2"/>
      <c r="H2" s="2"/>
      <c r="I2" s="2"/>
      <c r="J2" s="4">
        <f>TODAY()</f>
        <v>46173</v>
      </c>
      <c r="K2" s="5"/>
      <c r="L2" s="5"/>
      <c r="M2" s="5"/>
      <c r="N2" s="6"/>
      <c r="R2" s="7"/>
      <c r="S2" s="8"/>
      <c r="T2" s="8"/>
      <c r="U2" s="9"/>
      <c r="V2" s="9"/>
      <c r="W2" s="9"/>
      <c r="X2" s="8"/>
      <c r="Y2" s="8"/>
      <c r="Z2" s="8"/>
      <c r="AA2" s="10"/>
      <c r="AB2" s="5"/>
      <c r="AC2" s="5"/>
      <c r="AD2" s="5"/>
      <c r="AE2" s="6"/>
      <c r="AH2" s="11" t="s">
        <v>1</v>
      </c>
      <c r="AI2" s="12"/>
      <c r="AJ2" s="13"/>
      <c r="AL2" s="14"/>
    </row>
    <row r="3">
      <c r="A3" s="15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7" t="s">
        <v>7</v>
      </c>
      <c r="H3" s="18" t="s">
        <v>2</v>
      </c>
      <c r="I3" s="19"/>
      <c r="J3" s="19"/>
      <c r="K3" s="19"/>
      <c r="L3" s="19"/>
      <c r="M3" s="19"/>
      <c r="N3" s="20" t="s">
        <v>3</v>
      </c>
      <c r="R3" s="21"/>
      <c r="S3" s="22"/>
      <c r="T3" s="22"/>
      <c r="U3" s="22"/>
      <c r="V3" s="22"/>
      <c r="W3" s="23"/>
      <c r="X3" s="24"/>
      <c r="Y3" s="25"/>
      <c r="Z3" s="26"/>
      <c r="AA3" s="26"/>
      <c r="AB3" s="26"/>
      <c r="AC3" s="26"/>
      <c r="AD3" s="26"/>
      <c r="AE3" s="27"/>
      <c r="AH3" s="28"/>
      <c r="AJ3" s="29"/>
      <c r="AL3" s="14"/>
    </row>
    <row r="4">
      <c r="A4" s="30"/>
      <c r="B4" s="31"/>
      <c r="C4" s="31"/>
      <c r="D4" s="31"/>
      <c r="E4" s="31"/>
      <c r="F4" s="32"/>
      <c r="H4" s="33"/>
      <c r="I4" s="34"/>
      <c r="J4" s="34"/>
      <c r="K4" s="34"/>
      <c r="L4" s="34"/>
      <c r="M4" s="34"/>
      <c r="N4" s="35">
        <f t="shared" ref="N4:N44" si="1">SUM(I4:M4)</f>
        <v>0</v>
      </c>
      <c r="R4" s="36"/>
      <c r="S4" s="37"/>
      <c r="T4" s="37"/>
      <c r="U4" s="37"/>
      <c r="V4" s="37"/>
      <c r="W4" s="37"/>
      <c r="X4" s="24"/>
      <c r="Y4" s="33"/>
      <c r="Z4" s="34"/>
      <c r="AA4" s="34"/>
      <c r="AB4" s="34"/>
      <c r="AC4" s="34"/>
      <c r="AD4" s="34"/>
      <c r="AE4" s="38"/>
      <c r="AH4" s="39">
        <f>Z65+I53</f>
        <v>0</v>
      </c>
      <c r="AI4" s="40"/>
      <c r="AJ4" s="41"/>
      <c r="AL4" s="14"/>
    </row>
    <row r="5">
      <c r="A5" s="30"/>
      <c r="B5" s="31"/>
      <c r="C5" s="32"/>
      <c r="D5" s="32"/>
      <c r="E5" s="32"/>
      <c r="F5" s="32"/>
      <c r="H5" s="33"/>
      <c r="I5" s="34"/>
      <c r="J5" s="34"/>
      <c r="K5" s="34"/>
      <c r="L5" s="34"/>
      <c r="M5" s="34"/>
      <c r="N5" s="42">
        <f t="shared" si="1"/>
        <v>0</v>
      </c>
      <c r="R5" s="36"/>
      <c r="S5" s="37"/>
      <c r="T5" s="37"/>
      <c r="U5" s="37"/>
      <c r="V5" s="37"/>
      <c r="W5" s="37"/>
      <c r="X5" s="24"/>
      <c r="Y5" s="33"/>
      <c r="Z5" s="34"/>
      <c r="AA5" s="34"/>
      <c r="AB5" s="34"/>
      <c r="AC5" s="34"/>
      <c r="AD5" s="34"/>
      <c r="AE5" s="43"/>
      <c r="AH5" s="44"/>
      <c r="AI5" s="45"/>
      <c r="AJ5" s="46"/>
      <c r="AL5" s="14"/>
    </row>
    <row r="6">
      <c r="A6" s="47"/>
      <c r="B6" s="32"/>
      <c r="C6" s="32"/>
      <c r="D6" s="32"/>
      <c r="E6" s="32"/>
      <c r="F6" s="32"/>
      <c r="H6" s="33"/>
      <c r="I6" s="34"/>
      <c r="J6" s="34"/>
      <c r="K6" s="34"/>
      <c r="L6" s="34"/>
      <c r="M6" s="34"/>
      <c r="N6" s="42">
        <f t="shared" si="1"/>
        <v>0</v>
      </c>
      <c r="R6" s="36"/>
      <c r="S6" s="37"/>
      <c r="T6" s="37"/>
      <c r="U6" s="37"/>
      <c r="V6" s="37"/>
      <c r="W6" s="37"/>
      <c r="X6" s="24"/>
      <c r="Y6" s="33"/>
      <c r="Z6" s="34"/>
      <c r="AA6" s="34"/>
      <c r="AB6" s="34"/>
      <c r="AC6" s="34"/>
      <c r="AD6" s="34"/>
      <c r="AE6" s="43"/>
      <c r="AH6" s="48">
        <f>L53+AC65</f>
        <v>0</v>
      </c>
      <c r="AI6" s="40"/>
      <c r="AJ6" s="41"/>
      <c r="AL6" s="14"/>
    </row>
    <row r="7">
      <c r="A7" s="47"/>
      <c r="B7" s="32"/>
      <c r="C7" s="32"/>
      <c r="D7" s="32"/>
      <c r="E7" s="32"/>
      <c r="F7" s="32"/>
      <c r="H7" s="33"/>
      <c r="I7" s="34"/>
      <c r="J7" s="34"/>
      <c r="K7" s="34"/>
      <c r="L7" s="49"/>
      <c r="M7" s="49"/>
      <c r="N7" s="42">
        <f t="shared" si="1"/>
        <v>0</v>
      </c>
      <c r="R7" s="36"/>
      <c r="S7" s="37"/>
      <c r="T7" s="37"/>
      <c r="U7" s="37"/>
      <c r="V7" s="37"/>
      <c r="W7" s="37"/>
      <c r="X7" s="24"/>
      <c r="Y7" s="33"/>
      <c r="Z7" s="34"/>
      <c r="AA7" s="34"/>
      <c r="AB7" s="34"/>
      <c r="AC7" s="34"/>
      <c r="AD7" s="34"/>
      <c r="AE7" s="43"/>
      <c r="AH7" s="50"/>
      <c r="AJ7" s="51"/>
      <c r="AL7" s="14"/>
    </row>
    <row r="8">
      <c r="A8" s="47"/>
      <c r="B8" s="32"/>
      <c r="C8" s="32"/>
      <c r="D8" s="32"/>
      <c r="E8" s="32"/>
      <c r="F8" s="32"/>
      <c r="H8" s="33"/>
      <c r="I8" s="49"/>
      <c r="J8" s="49"/>
      <c r="K8" s="49"/>
      <c r="L8" s="49"/>
      <c r="M8" s="49"/>
      <c r="N8" s="42">
        <f t="shared" si="1"/>
        <v>0</v>
      </c>
      <c r="R8" s="36"/>
      <c r="S8" s="37"/>
      <c r="T8" s="37"/>
      <c r="U8" s="37"/>
      <c r="V8" s="37"/>
      <c r="W8" s="37"/>
      <c r="X8" s="24"/>
      <c r="Y8" s="33"/>
      <c r="Z8" s="34"/>
      <c r="AA8" s="34"/>
      <c r="AB8" s="34"/>
      <c r="AC8" s="34"/>
      <c r="AD8" s="34"/>
      <c r="AE8" s="43"/>
      <c r="AH8" s="44"/>
      <c r="AI8" s="45"/>
      <c r="AJ8" s="46"/>
      <c r="AL8" s="14"/>
    </row>
    <row r="9">
      <c r="A9" s="47"/>
      <c r="B9" s="32"/>
      <c r="C9" s="32"/>
      <c r="D9" s="32"/>
      <c r="E9" s="32"/>
      <c r="F9" s="32"/>
      <c r="H9" s="33"/>
      <c r="I9" s="49"/>
      <c r="J9" s="49"/>
      <c r="K9" s="49"/>
      <c r="L9" s="49"/>
      <c r="M9" s="49"/>
      <c r="N9" s="42">
        <f t="shared" si="1"/>
        <v>0</v>
      </c>
      <c r="R9" s="36"/>
      <c r="S9" s="37"/>
      <c r="T9" s="37"/>
      <c r="U9" s="37"/>
      <c r="V9" s="37"/>
      <c r="W9" s="37"/>
      <c r="X9" s="24"/>
      <c r="Y9" s="33"/>
      <c r="Z9" s="34"/>
      <c r="AA9" s="34"/>
      <c r="AB9" s="34"/>
      <c r="AC9" s="34"/>
      <c r="AD9" s="34"/>
      <c r="AE9" s="43"/>
      <c r="AL9" s="14"/>
    </row>
    <row r="10">
      <c r="A10" s="47"/>
      <c r="B10" s="32"/>
      <c r="C10" s="32"/>
      <c r="D10" s="32"/>
      <c r="E10" s="32"/>
      <c r="F10" s="32"/>
      <c r="H10" s="33"/>
      <c r="I10" s="49"/>
      <c r="J10" s="49"/>
      <c r="K10" s="49"/>
      <c r="L10" s="49"/>
      <c r="M10" s="49"/>
      <c r="N10" s="42">
        <f t="shared" si="1"/>
        <v>0</v>
      </c>
      <c r="R10" s="36"/>
      <c r="S10" s="37"/>
      <c r="T10" s="37"/>
      <c r="U10" s="37"/>
      <c r="V10" s="37"/>
      <c r="W10" s="37"/>
      <c r="X10" s="24"/>
      <c r="Y10" s="33"/>
      <c r="Z10" s="34"/>
      <c r="AA10" s="34"/>
      <c r="AB10" s="34"/>
      <c r="AC10" s="34"/>
      <c r="AD10" s="34"/>
      <c r="AE10" s="43"/>
      <c r="AL10" s="14"/>
    </row>
    <row r="11">
      <c r="A11" s="47"/>
      <c r="B11" s="32"/>
      <c r="C11" s="32"/>
      <c r="D11" s="32"/>
      <c r="E11" s="32"/>
      <c r="F11" s="32"/>
      <c r="H11" s="33"/>
      <c r="I11" s="49"/>
      <c r="J11" s="49"/>
      <c r="K11" s="49"/>
      <c r="L11" s="49"/>
      <c r="M11" s="49"/>
      <c r="N11" s="42">
        <f t="shared" si="1"/>
        <v>0</v>
      </c>
      <c r="R11" s="36"/>
      <c r="S11" s="37"/>
      <c r="T11" s="37"/>
      <c r="U11" s="37"/>
      <c r="V11" s="37"/>
      <c r="W11" s="37"/>
      <c r="X11" s="24"/>
      <c r="Y11" s="33"/>
      <c r="Z11" s="34"/>
      <c r="AA11" s="34"/>
      <c r="AB11" s="34"/>
      <c r="AC11" s="34"/>
      <c r="AD11" s="34"/>
      <c r="AE11" s="43"/>
      <c r="AL11" s="14"/>
    </row>
    <row r="12">
      <c r="A12" s="47"/>
      <c r="B12" s="32"/>
      <c r="C12" s="32"/>
      <c r="D12" s="32"/>
      <c r="E12" s="32"/>
      <c r="F12" s="32"/>
      <c r="H12" s="33"/>
      <c r="I12" s="34"/>
      <c r="J12" s="34"/>
      <c r="K12" s="34"/>
      <c r="L12" s="34"/>
      <c r="M12" s="34"/>
      <c r="N12" s="42">
        <f t="shared" si="1"/>
        <v>0</v>
      </c>
      <c r="R12" s="36"/>
      <c r="S12" s="37"/>
      <c r="T12" s="37"/>
      <c r="U12" s="37"/>
      <c r="V12" s="37"/>
      <c r="W12" s="37"/>
      <c r="X12" s="24"/>
      <c r="Y12" s="33"/>
      <c r="Z12" s="34"/>
      <c r="AA12" s="34"/>
      <c r="AB12" s="34"/>
      <c r="AC12" s="34"/>
      <c r="AD12" s="34"/>
      <c r="AE12" s="43"/>
      <c r="AL12" s="14"/>
    </row>
    <row r="13">
      <c r="A13" s="47"/>
      <c r="B13" s="32"/>
      <c r="C13" s="32"/>
      <c r="D13" s="32"/>
      <c r="E13" s="32"/>
      <c r="F13" s="32"/>
      <c r="H13" s="33"/>
      <c r="I13" s="34"/>
      <c r="J13" s="49"/>
      <c r="K13" s="49"/>
      <c r="L13" s="49"/>
      <c r="M13" s="49"/>
      <c r="N13" s="42">
        <f t="shared" si="1"/>
        <v>0</v>
      </c>
      <c r="R13" s="36"/>
      <c r="S13" s="37"/>
      <c r="T13" s="37"/>
      <c r="U13" s="37"/>
      <c r="V13" s="37"/>
      <c r="W13" s="37"/>
      <c r="X13" s="24"/>
      <c r="Y13" s="33"/>
      <c r="Z13" s="34"/>
      <c r="AA13" s="34"/>
      <c r="AB13" s="34"/>
      <c r="AC13" s="34"/>
      <c r="AD13" s="34"/>
      <c r="AE13" s="43"/>
      <c r="AL13" s="14"/>
    </row>
    <row r="14">
      <c r="A14" s="47"/>
      <c r="B14" s="32"/>
      <c r="C14" s="32"/>
      <c r="D14" s="32"/>
      <c r="E14" s="32"/>
      <c r="F14" s="32"/>
      <c r="H14" s="33"/>
      <c r="I14" s="49"/>
      <c r="J14" s="49"/>
      <c r="K14" s="49"/>
      <c r="L14" s="49"/>
      <c r="M14" s="49"/>
      <c r="N14" s="42">
        <f t="shared" si="1"/>
        <v>0</v>
      </c>
      <c r="R14" s="36"/>
      <c r="S14" s="37"/>
      <c r="T14" s="37"/>
      <c r="U14" s="37"/>
      <c r="V14" s="37"/>
      <c r="W14" s="37"/>
      <c r="X14" s="24"/>
      <c r="Y14" s="33"/>
      <c r="Z14" s="34"/>
      <c r="AA14" s="34"/>
      <c r="AB14" s="34"/>
      <c r="AC14" s="34"/>
      <c r="AD14" s="34"/>
      <c r="AE14" s="43"/>
      <c r="AL14" s="14"/>
    </row>
    <row r="15">
      <c r="A15" s="47"/>
      <c r="B15" s="32"/>
      <c r="C15" s="32"/>
      <c r="D15" s="32"/>
      <c r="E15" s="32"/>
      <c r="F15" s="32"/>
      <c r="H15" s="33"/>
      <c r="I15" s="34"/>
      <c r="J15" s="34"/>
      <c r="K15" s="34"/>
      <c r="L15" s="49"/>
      <c r="M15" s="49"/>
      <c r="N15" s="42">
        <f t="shared" si="1"/>
        <v>0</v>
      </c>
      <c r="R15" s="36"/>
      <c r="S15" s="37"/>
      <c r="T15" s="37"/>
      <c r="U15" s="37"/>
      <c r="V15" s="37"/>
      <c r="W15" s="37"/>
      <c r="X15" s="24"/>
      <c r="Y15" s="33"/>
      <c r="Z15" s="34"/>
      <c r="AA15" s="34"/>
      <c r="AB15" s="34"/>
      <c r="AC15" s="34"/>
      <c r="AD15" s="34"/>
      <c r="AE15" s="43"/>
      <c r="AL15" s="14"/>
    </row>
    <row r="16">
      <c r="A16" s="47"/>
      <c r="B16" s="32"/>
      <c r="C16" s="32"/>
      <c r="D16" s="32"/>
      <c r="E16" s="32"/>
      <c r="F16" s="32"/>
      <c r="H16" s="33"/>
      <c r="I16" s="49"/>
      <c r="J16" s="49"/>
      <c r="K16" s="49"/>
      <c r="L16" s="49"/>
      <c r="M16" s="49"/>
      <c r="N16" s="42">
        <f t="shared" si="1"/>
        <v>0</v>
      </c>
      <c r="R16" s="36"/>
      <c r="S16" s="37"/>
      <c r="T16" s="37"/>
      <c r="U16" s="37"/>
      <c r="V16" s="37"/>
      <c r="W16" s="37"/>
      <c r="X16" s="24"/>
      <c r="Y16" s="33"/>
      <c r="Z16" s="34"/>
      <c r="AA16" s="34"/>
      <c r="AB16" s="34"/>
      <c r="AC16" s="34"/>
      <c r="AD16" s="34"/>
      <c r="AE16" s="43"/>
      <c r="AL16" s="14"/>
    </row>
    <row r="17">
      <c r="A17" s="47"/>
      <c r="B17" s="32"/>
      <c r="C17" s="32"/>
      <c r="D17" s="32"/>
      <c r="E17" s="32"/>
      <c r="F17" s="32"/>
      <c r="H17" s="33"/>
      <c r="I17" s="49"/>
      <c r="J17" s="49"/>
      <c r="K17" s="49"/>
      <c r="L17" s="49"/>
      <c r="M17" s="49"/>
      <c r="N17" s="42">
        <f t="shared" si="1"/>
        <v>0</v>
      </c>
      <c r="R17" s="36"/>
      <c r="S17" s="37"/>
      <c r="T17" s="37"/>
      <c r="U17" s="37"/>
      <c r="V17" s="37"/>
      <c r="W17" s="37"/>
      <c r="X17" s="24"/>
      <c r="Y17" s="33"/>
      <c r="Z17" s="34"/>
      <c r="AA17" s="34"/>
      <c r="AB17" s="34"/>
      <c r="AC17" s="34"/>
      <c r="AD17" s="34"/>
      <c r="AE17" s="43"/>
      <c r="AL17" s="14"/>
    </row>
    <row r="18">
      <c r="A18" s="47"/>
      <c r="B18" s="32"/>
      <c r="C18" s="32"/>
      <c r="D18" s="32"/>
      <c r="E18" s="32"/>
      <c r="F18" s="32"/>
      <c r="H18" s="33"/>
      <c r="I18" s="49"/>
      <c r="J18" s="49"/>
      <c r="K18" s="49"/>
      <c r="L18" s="49"/>
      <c r="M18" s="49"/>
      <c r="N18" s="42">
        <f t="shared" si="1"/>
        <v>0</v>
      </c>
      <c r="R18" s="36"/>
      <c r="S18" s="37"/>
      <c r="T18" s="37"/>
      <c r="U18" s="37"/>
      <c r="V18" s="37"/>
      <c r="W18" s="37"/>
      <c r="X18" s="24"/>
      <c r="Y18" s="33"/>
      <c r="Z18" s="34"/>
      <c r="AA18" s="34"/>
      <c r="AB18" s="34"/>
      <c r="AC18" s="34"/>
      <c r="AD18" s="34"/>
      <c r="AE18" s="43"/>
      <c r="AL18" s="14"/>
    </row>
    <row r="19">
      <c r="A19" s="47"/>
      <c r="B19" s="32"/>
      <c r="C19" s="32"/>
      <c r="D19" s="32"/>
      <c r="E19" s="32"/>
      <c r="F19" s="32"/>
      <c r="H19" s="33"/>
      <c r="I19" s="49"/>
      <c r="J19" s="49"/>
      <c r="K19" s="49"/>
      <c r="L19" s="49"/>
      <c r="M19" s="49"/>
      <c r="N19" s="42">
        <f t="shared" si="1"/>
        <v>0</v>
      </c>
      <c r="R19" s="36"/>
      <c r="S19" s="37"/>
      <c r="T19" s="37"/>
      <c r="U19" s="37"/>
      <c r="V19" s="37"/>
      <c r="W19" s="37"/>
      <c r="X19" s="24"/>
      <c r="Y19" s="33"/>
      <c r="Z19" s="34"/>
      <c r="AA19" s="34"/>
      <c r="AB19" s="34"/>
      <c r="AC19" s="34"/>
      <c r="AD19" s="34"/>
      <c r="AE19" s="43"/>
      <c r="AL19" s="14"/>
    </row>
    <row r="20">
      <c r="A20" s="47"/>
      <c r="B20" s="32"/>
      <c r="C20" s="32"/>
      <c r="D20" s="32"/>
      <c r="E20" s="32"/>
      <c r="F20" s="32"/>
      <c r="H20" s="33"/>
      <c r="I20" s="49"/>
      <c r="J20" s="49"/>
      <c r="K20" s="49"/>
      <c r="L20" s="49"/>
      <c r="M20" s="49"/>
      <c r="N20" s="42">
        <f t="shared" si="1"/>
        <v>0</v>
      </c>
      <c r="R20" s="36"/>
      <c r="S20" s="37"/>
      <c r="T20" s="37"/>
      <c r="U20" s="37"/>
      <c r="V20" s="37"/>
      <c r="W20" s="37"/>
      <c r="X20" s="24"/>
      <c r="Y20" s="33"/>
      <c r="Z20" s="34"/>
      <c r="AA20" s="34"/>
      <c r="AB20" s="34"/>
      <c r="AC20" s="34"/>
      <c r="AD20" s="34"/>
      <c r="AE20" s="43"/>
      <c r="AL20" s="14"/>
    </row>
    <row r="21" ht="15.75" customHeight="1">
      <c r="A21" s="47"/>
      <c r="B21" s="32"/>
      <c r="C21" s="32"/>
      <c r="D21" s="32"/>
      <c r="E21" s="32"/>
      <c r="F21" s="32"/>
      <c r="H21" s="33"/>
      <c r="I21" s="34"/>
      <c r="J21" s="49"/>
      <c r="K21" s="49"/>
      <c r="L21" s="49"/>
      <c r="M21" s="49"/>
      <c r="N21" s="42">
        <f t="shared" si="1"/>
        <v>0</v>
      </c>
      <c r="R21" s="36"/>
      <c r="S21" s="37"/>
      <c r="T21" s="37"/>
      <c r="U21" s="37"/>
      <c r="V21" s="37"/>
      <c r="W21" s="37"/>
      <c r="X21" s="24"/>
      <c r="Y21" s="33"/>
      <c r="Z21" s="34"/>
      <c r="AA21" s="34"/>
      <c r="AB21" s="34"/>
      <c r="AC21" s="34"/>
      <c r="AD21" s="34"/>
      <c r="AE21" s="43"/>
      <c r="AL21" s="14"/>
    </row>
    <row r="22" ht="15.75" customHeight="1">
      <c r="A22" s="47"/>
      <c r="B22" s="32"/>
      <c r="C22" s="32"/>
      <c r="D22" s="32"/>
      <c r="E22" s="32"/>
      <c r="F22" s="32"/>
      <c r="H22" s="33"/>
      <c r="I22" s="49"/>
      <c r="J22" s="49"/>
      <c r="K22" s="49"/>
      <c r="L22" s="49"/>
      <c r="M22" s="49"/>
      <c r="N22" s="42">
        <f t="shared" si="1"/>
        <v>0</v>
      </c>
      <c r="R22" s="36"/>
      <c r="S22" s="37"/>
      <c r="T22" s="37"/>
      <c r="U22" s="37"/>
      <c r="V22" s="37"/>
      <c r="W22" s="37"/>
      <c r="X22" s="24"/>
      <c r="Y22" s="33"/>
      <c r="Z22" s="34"/>
      <c r="AA22" s="34"/>
      <c r="AB22" s="34"/>
      <c r="AC22" s="34"/>
      <c r="AD22" s="34"/>
      <c r="AE22" s="43"/>
      <c r="AL22" s="14"/>
    </row>
    <row r="23" ht="15.75" customHeight="1">
      <c r="A23" s="47"/>
      <c r="B23" s="32"/>
      <c r="C23" s="32"/>
      <c r="D23" s="32"/>
      <c r="E23" s="32"/>
      <c r="F23" s="32"/>
      <c r="H23" s="33"/>
      <c r="I23" s="34"/>
      <c r="J23" s="34"/>
      <c r="K23" s="49"/>
      <c r="L23" s="49"/>
      <c r="M23" s="49"/>
      <c r="N23" s="42">
        <f t="shared" si="1"/>
        <v>0</v>
      </c>
      <c r="R23" s="36"/>
      <c r="S23" s="37"/>
      <c r="T23" s="37"/>
      <c r="U23" s="37"/>
      <c r="V23" s="37"/>
      <c r="W23" s="37"/>
      <c r="X23" s="24"/>
      <c r="Y23" s="33"/>
      <c r="Z23" s="34"/>
      <c r="AA23" s="34"/>
      <c r="AB23" s="34"/>
      <c r="AC23" s="34"/>
      <c r="AD23" s="34"/>
      <c r="AE23" s="43"/>
      <c r="AL23" s="14"/>
    </row>
    <row r="24" ht="15.75" customHeight="1">
      <c r="A24" s="47"/>
      <c r="B24" s="32"/>
      <c r="C24" s="32"/>
      <c r="D24" s="32"/>
      <c r="E24" s="32"/>
      <c r="F24" s="32"/>
      <c r="H24" s="33"/>
      <c r="I24" s="49"/>
      <c r="J24" s="49"/>
      <c r="K24" s="49"/>
      <c r="L24" s="49"/>
      <c r="M24" s="49"/>
      <c r="N24" s="42">
        <f t="shared" si="1"/>
        <v>0</v>
      </c>
      <c r="R24" s="36"/>
      <c r="S24" s="37"/>
      <c r="T24" s="37"/>
      <c r="U24" s="37"/>
      <c r="V24" s="37"/>
      <c r="W24" s="37"/>
      <c r="X24" s="24"/>
      <c r="Y24" s="33"/>
      <c r="Z24" s="34"/>
      <c r="AA24" s="34"/>
      <c r="AB24" s="34"/>
      <c r="AC24" s="34"/>
      <c r="AD24" s="34"/>
      <c r="AE24" s="43"/>
      <c r="AL24" s="14"/>
    </row>
    <row r="25" ht="15.75" customHeight="1">
      <c r="A25" s="47"/>
      <c r="B25" s="32"/>
      <c r="C25" s="32"/>
      <c r="D25" s="32"/>
      <c r="E25" s="32"/>
      <c r="F25" s="32"/>
      <c r="H25" s="33"/>
      <c r="I25" s="49"/>
      <c r="J25" s="49"/>
      <c r="K25" s="49"/>
      <c r="L25" s="49"/>
      <c r="M25" s="49"/>
      <c r="N25" s="42">
        <f t="shared" si="1"/>
        <v>0</v>
      </c>
      <c r="R25" s="36"/>
      <c r="S25" s="37"/>
      <c r="T25" s="37"/>
      <c r="U25" s="37"/>
      <c r="V25" s="37"/>
      <c r="W25" s="37"/>
      <c r="X25" s="24"/>
      <c r="Y25" s="33"/>
      <c r="Z25" s="34"/>
      <c r="AA25" s="34"/>
      <c r="AB25" s="34"/>
      <c r="AC25" s="34"/>
      <c r="AD25" s="34"/>
      <c r="AE25" s="43"/>
      <c r="AL25" s="14"/>
    </row>
    <row r="26" ht="15.75" customHeight="1">
      <c r="A26" s="47"/>
      <c r="B26" s="32"/>
      <c r="C26" s="32"/>
      <c r="D26" s="32"/>
      <c r="E26" s="32"/>
      <c r="F26" s="32"/>
      <c r="H26" s="33"/>
      <c r="I26" s="49"/>
      <c r="J26" s="49"/>
      <c r="K26" s="49"/>
      <c r="L26" s="49"/>
      <c r="M26" s="49"/>
      <c r="N26" s="42">
        <f t="shared" si="1"/>
        <v>0</v>
      </c>
      <c r="R26" s="36"/>
      <c r="S26" s="37"/>
      <c r="T26" s="37"/>
      <c r="U26" s="37"/>
      <c r="V26" s="37"/>
      <c r="W26" s="37"/>
      <c r="X26" s="24"/>
      <c r="Y26" s="33"/>
      <c r="Z26" s="34"/>
      <c r="AA26" s="34"/>
      <c r="AB26" s="34"/>
      <c r="AC26" s="34"/>
      <c r="AD26" s="34"/>
      <c r="AE26" s="43"/>
      <c r="AL26" s="14"/>
    </row>
    <row r="27" ht="15.75" customHeight="1">
      <c r="A27" s="47"/>
      <c r="B27" s="32"/>
      <c r="C27" s="32"/>
      <c r="D27" s="32"/>
      <c r="E27" s="32"/>
      <c r="F27" s="32"/>
      <c r="H27" s="33"/>
      <c r="I27" s="34"/>
      <c r="J27" s="34"/>
      <c r="K27" s="49"/>
      <c r="L27" s="49"/>
      <c r="M27" s="49"/>
      <c r="N27" s="42">
        <f t="shared" si="1"/>
        <v>0</v>
      </c>
      <c r="R27" s="36"/>
      <c r="S27" s="37"/>
      <c r="T27" s="37"/>
      <c r="U27" s="37"/>
      <c r="V27" s="37"/>
      <c r="W27" s="37"/>
      <c r="X27" s="24"/>
      <c r="Y27" s="33"/>
      <c r="Z27" s="34"/>
      <c r="AA27" s="34"/>
      <c r="AB27" s="34"/>
      <c r="AC27" s="34"/>
      <c r="AD27" s="34"/>
      <c r="AE27" s="43"/>
      <c r="AL27" s="14"/>
    </row>
    <row r="28" ht="15.75" customHeight="1">
      <c r="A28" s="47"/>
      <c r="B28" s="32"/>
      <c r="C28" s="32"/>
      <c r="D28" s="32"/>
      <c r="E28" s="32"/>
      <c r="F28" s="32"/>
      <c r="H28" s="33"/>
      <c r="I28" s="49"/>
      <c r="J28" s="49"/>
      <c r="K28" s="49"/>
      <c r="L28" s="49"/>
      <c r="M28" s="49"/>
      <c r="N28" s="42">
        <f t="shared" si="1"/>
        <v>0</v>
      </c>
      <c r="R28" s="36"/>
      <c r="S28" s="37"/>
      <c r="T28" s="37"/>
      <c r="U28" s="37"/>
      <c r="V28" s="37"/>
      <c r="W28" s="37"/>
      <c r="X28" s="24"/>
      <c r="Y28" s="33"/>
      <c r="Z28" s="34"/>
      <c r="AA28" s="34"/>
      <c r="AB28" s="34"/>
      <c r="AC28" s="34"/>
      <c r="AD28" s="34"/>
      <c r="AE28" s="43"/>
      <c r="AL28" s="14"/>
      <c r="AO28" s="52"/>
    </row>
    <row r="29" ht="15.75" customHeight="1">
      <c r="A29" s="47"/>
      <c r="B29" s="32"/>
      <c r="C29" s="32"/>
      <c r="D29" s="32"/>
      <c r="E29" s="32"/>
      <c r="F29" s="32"/>
      <c r="H29" s="33"/>
      <c r="I29" s="49"/>
      <c r="J29" s="49"/>
      <c r="K29" s="49"/>
      <c r="L29" s="49"/>
      <c r="M29" s="49"/>
      <c r="N29" s="42">
        <f t="shared" si="1"/>
        <v>0</v>
      </c>
      <c r="R29" s="36"/>
      <c r="S29" s="53"/>
      <c r="T29" s="37"/>
      <c r="U29" s="37"/>
      <c r="V29" s="37"/>
      <c r="W29" s="37"/>
      <c r="X29" s="24"/>
      <c r="Y29" s="33"/>
      <c r="Z29" s="34"/>
      <c r="AA29" s="34"/>
      <c r="AB29" s="34"/>
      <c r="AC29" s="34"/>
      <c r="AD29" s="34"/>
      <c r="AE29" s="43"/>
      <c r="AL29" s="14"/>
    </row>
    <row r="30" ht="15.75" customHeight="1">
      <c r="A30" s="47"/>
      <c r="B30" s="32"/>
      <c r="C30" s="32"/>
      <c r="D30" s="32"/>
      <c r="E30" s="32"/>
      <c r="F30" s="32"/>
      <c r="H30" s="33"/>
      <c r="I30" s="49"/>
      <c r="J30" s="49"/>
      <c r="K30" s="49"/>
      <c r="L30" s="49"/>
      <c r="M30" s="49"/>
      <c r="N30" s="42">
        <f t="shared" si="1"/>
        <v>0</v>
      </c>
      <c r="R30" s="36"/>
      <c r="S30" s="37"/>
      <c r="T30" s="37"/>
      <c r="U30" s="37"/>
      <c r="V30" s="37"/>
      <c r="W30" s="37"/>
      <c r="X30" s="24"/>
      <c r="Y30" s="33"/>
      <c r="Z30" s="34"/>
      <c r="AA30" s="34"/>
      <c r="AB30" s="34"/>
      <c r="AC30" s="34"/>
      <c r="AD30" s="34"/>
      <c r="AE30" s="43"/>
      <c r="AL30" s="14"/>
    </row>
    <row r="31" ht="15.75" customHeight="1">
      <c r="A31" s="47"/>
      <c r="B31" s="32"/>
      <c r="C31" s="32"/>
      <c r="D31" s="32"/>
      <c r="E31" s="32"/>
      <c r="F31" s="32"/>
      <c r="H31" s="33"/>
      <c r="I31" s="34"/>
      <c r="J31" s="49"/>
      <c r="K31" s="49"/>
      <c r="L31" s="49"/>
      <c r="M31" s="49"/>
      <c r="N31" s="42">
        <f t="shared" si="1"/>
        <v>0</v>
      </c>
      <c r="R31" s="36"/>
      <c r="S31" s="37"/>
      <c r="T31" s="37"/>
      <c r="U31" s="37"/>
      <c r="V31" s="37"/>
      <c r="W31" s="37"/>
      <c r="X31" s="24"/>
      <c r="Y31" s="33"/>
      <c r="Z31" s="34"/>
      <c r="AA31" s="34"/>
      <c r="AB31" s="34"/>
      <c r="AC31" s="34"/>
      <c r="AD31" s="34"/>
      <c r="AE31" s="43"/>
      <c r="AL31" s="14"/>
    </row>
    <row r="32" ht="15.75" customHeight="1">
      <c r="A32" s="47"/>
      <c r="B32" s="32"/>
      <c r="C32" s="32"/>
      <c r="D32" s="32"/>
      <c r="E32" s="32"/>
      <c r="F32" s="32"/>
      <c r="H32" s="33"/>
      <c r="I32" s="49"/>
      <c r="J32" s="49"/>
      <c r="K32" s="49"/>
      <c r="L32" s="49"/>
      <c r="M32" s="49"/>
      <c r="N32" s="42">
        <f t="shared" si="1"/>
        <v>0</v>
      </c>
      <c r="R32" s="36"/>
      <c r="S32" s="37"/>
      <c r="T32" s="37"/>
      <c r="U32" s="37"/>
      <c r="V32" s="37"/>
      <c r="W32" s="37"/>
      <c r="X32" s="24"/>
      <c r="Y32" s="33"/>
      <c r="Z32" s="34"/>
      <c r="AA32" s="34"/>
      <c r="AB32" s="34"/>
      <c r="AC32" s="34"/>
      <c r="AD32" s="34"/>
      <c r="AE32" s="43"/>
      <c r="AL32" s="14"/>
    </row>
    <row r="33" ht="15.75" customHeight="1">
      <c r="A33" s="47"/>
      <c r="B33" s="32"/>
      <c r="C33" s="32"/>
      <c r="D33" s="32"/>
      <c r="E33" s="32"/>
      <c r="F33" s="32"/>
      <c r="H33" s="33"/>
      <c r="I33" s="34"/>
      <c r="J33" s="49"/>
      <c r="K33" s="49"/>
      <c r="L33" s="49"/>
      <c r="M33" s="49"/>
      <c r="N33" s="42">
        <f t="shared" si="1"/>
        <v>0</v>
      </c>
      <c r="R33" s="36"/>
      <c r="S33" s="37"/>
      <c r="T33" s="37"/>
      <c r="U33" s="37"/>
      <c r="V33" s="37"/>
      <c r="W33" s="37"/>
      <c r="X33" s="24"/>
      <c r="Y33" s="54"/>
      <c r="Z33" s="55"/>
      <c r="AA33" s="6"/>
      <c r="AB33" s="24"/>
      <c r="AC33" s="56"/>
      <c r="AD33" s="5"/>
      <c r="AE33" s="54"/>
      <c r="AL33" s="14"/>
    </row>
    <row r="34" ht="15.75" customHeight="1">
      <c r="A34" s="47"/>
      <c r="B34" s="32"/>
      <c r="C34" s="32"/>
      <c r="D34" s="32"/>
      <c r="E34" s="32"/>
      <c r="F34" s="32"/>
      <c r="H34" s="33"/>
      <c r="I34" s="49"/>
      <c r="J34" s="49"/>
      <c r="K34" s="49"/>
      <c r="L34" s="49"/>
      <c r="M34" s="49"/>
      <c r="N34" s="42">
        <f t="shared" si="1"/>
        <v>0</v>
      </c>
      <c r="R34" s="36"/>
      <c r="S34" s="37"/>
      <c r="T34" s="37"/>
      <c r="U34" s="37"/>
      <c r="V34" s="37"/>
      <c r="W34" s="37"/>
      <c r="X34" s="24"/>
      <c r="Y34" s="24"/>
      <c r="Z34" s="24"/>
      <c r="AA34" s="24"/>
      <c r="AB34" s="24"/>
      <c r="AC34" s="24"/>
      <c r="AD34" s="24"/>
      <c r="AE34" s="24"/>
      <c r="AL34" s="14"/>
    </row>
    <row r="35" ht="15.75" customHeight="1">
      <c r="A35" s="47"/>
      <c r="B35" s="32"/>
      <c r="C35" s="32"/>
      <c r="D35" s="32"/>
      <c r="E35" s="32"/>
      <c r="F35" s="32"/>
      <c r="H35" s="33"/>
      <c r="I35" s="49"/>
      <c r="J35" s="49"/>
      <c r="K35" s="49"/>
      <c r="L35" s="49"/>
      <c r="M35" s="49"/>
      <c r="N35" s="42">
        <f t="shared" si="1"/>
        <v>0</v>
      </c>
      <c r="R35" s="36"/>
      <c r="S35" s="37"/>
      <c r="T35" s="37"/>
      <c r="U35" s="37"/>
      <c r="V35" s="37"/>
      <c r="W35" s="37"/>
      <c r="X35" s="24"/>
      <c r="Y35" s="24"/>
      <c r="Z35" s="24"/>
      <c r="AA35" s="24"/>
      <c r="AB35" s="24"/>
      <c r="AC35" s="24"/>
      <c r="AD35" s="24"/>
      <c r="AE35" s="24"/>
      <c r="AL35" s="14"/>
    </row>
    <row r="36" ht="15.75" customHeight="1">
      <c r="A36" s="30"/>
      <c r="B36" s="31"/>
      <c r="C36" s="32"/>
      <c r="D36" s="32"/>
      <c r="E36" s="32"/>
      <c r="F36" s="32"/>
      <c r="H36" s="33"/>
      <c r="I36" s="49"/>
      <c r="J36" s="49"/>
      <c r="K36" s="49"/>
      <c r="L36" s="49"/>
      <c r="M36" s="49"/>
      <c r="N36" s="42">
        <f t="shared" si="1"/>
        <v>0</v>
      </c>
      <c r="R36" s="36"/>
      <c r="S36" s="37"/>
      <c r="T36" s="37"/>
      <c r="U36" s="37"/>
      <c r="V36" s="37"/>
      <c r="W36" s="37"/>
      <c r="X36" s="24"/>
      <c r="Y36" s="24"/>
      <c r="Z36" s="24"/>
      <c r="AA36" s="24"/>
      <c r="AB36" s="57"/>
      <c r="AC36" s="24"/>
      <c r="AD36" s="24"/>
      <c r="AE36" s="24"/>
      <c r="AL36" s="14"/>
    </row>
    <row r="37" ht="15.75" customHeight="1">
      <c r="A37" s="47"/>
      <c r="B37" s="32"/>
      <c r="C37" s="32"/>
      <c r="D37" s="32"/>
      <c r="E37" s="32"/>
      <c r="F37" s="32"/>
      <c r="H37" s="33"/>
      <c r="I37" s="34"/>
      <c r="J37" s="49"/>
      <c r="K37" s="49"/>
      <c r="L37" s="49"/>
      <c r="M37" s="49"/>
      <c r="N37" s="42">
        <f t="shared" si="1"/>
        <v>0</v>
      </c>
      <c r="R37" s="36"/>
      <c r="S37" s="37"/>
      <c r="T37" s="37"/>
      <c r="U37" s="37"/>
      <c r="V37" s="37"/>
      <c r="W37" s="37"/>
      <c r="X37" s="24"/>
      <c r="Y37" s="24"/>
      <c r="Z37" s="24"/>
      <c r="AA37" s="24"/>
      <c r="AB37" s="24"/>
      <c r="AC37" s="24"/>
      <c r="AD37" s="24"/>
      <c r="AE37" s="24"/>
      <c r="AL37" s="14"/>
      <c r="AO37" s="52"/>
    </row>
    <row r="38" ht="15.75" customHeight="1">
      <c r="A38" s="47"/>
      <c r="B38" s="32"/>
      <c r="C38" s="32"/>
      <c r="D38" s="32"/>
      <c r="E38" s="32"/>
      <c r="F38" s="32"/>
      <c r="H38" s="33"/>
      <c r="I38" s="49"/>
      <c r="J38" s="49"/>
      <c r="K38" s="49"/>
      <c r="L38" s="49"/>
      <c r="M38" s="49"/>
      <c r="N38" s="42">
        <f t="shared" si="1"/>
        <v>0</v>
      </c>
      <c r="R38" s="36"/>
      <c r="S38" s="37"/>
      <c r="T38" s="37"/>
      <c r="U38" s="37"/>
      <c r="V38" s="37"/>
      <c r="W38" s="37"/>
      <c r="X38" s="24"/>
      <c r="Y38" s="24"/>
      <c r="Z38" s="24"/>
      <c r="AA38" s="24"/>
      <c r="AB38" s="24"/>
      <c r="AC38" s="24"/>
      <c r="AD38" s="24"/>
      <c r="AE38" s="24"/>
      <c r="AL38" s="14"/>
    </row>
    <row r="39" ht="15.75" customHeight="1">
      <c r="A39" s="47"/>
      <c r="B39" s="32"/>
      <c r="C39" s="32"/>
      <c r="D39" s="32"/>
      <c r="E39" s="32"/>
      <c r="F39" s="32"/>
      <c r="H39" s="33"/>
      <c r="I39" s="49"/>
      <c r="J39" s="49"/>
      <c r="K39" s="49"/>
      <c r="L39" s="49"/>
      <c r="M39" s="49"/>
      <c r="N39" s="42">
        <f t="shared" si="1"/>
        <v>0</v>
      </c>
      <c r="R39" s="36"/>
      <c r="S39" s="37"/>
      <c r="T39" s="37"/>
      <c r="U39" s="37"/>
      <c r="V39" s="37"/>
      <c r="W39" s="37"/>
      <c r="X39" s="24"/>
      <c r="Y39" s="24"/>
      <c r="Z39" s="24"/>
      <c r="AA39" s="24"/>
      <c r="AB39" s="24"/>
      <c r="AC39" s="24"/>
      <c r="AD39" s="24"/>
      <c r="AE39" s="24"/>
      <c r="AL39" s="14"/>
    </row>
    <row r="40" ht="15.75" customHeight="1">
      <c r="A40" s="47"/>
      <c r="B40" s="32"/>
      <c r="C40" s="32"/>
      <c r="D40" s="32"/>
      <c r="E40" s="32"/>
      <c r="F40" s="32"/>
      <c r="H40" s="33"/>
      <c r="I40" s="49"/>
      <c r="J40" s="49"/>
      <c r="K40" s="49"/>
      <c r="L40" s="49"/>
      <c r="M40" s="49"/>
      <c r="N40" s="42">
        <f t="shared" si="1"/>
        <v>0</v>
      </c>
      <c r="R40" s="36"/>
      <c r="S40" s="37"/>
      <c r="T40" s="37"/>
      <c r="U40" s="37"/>
      <c r="V40" s="37"/>
      <c r="W40" s="37"/>
      <c r="X40" s="24"/>
      <c r="Y40" s="24"/>
      <c r="Z40" s="24"/>
      <c r="AA40" s="24"/>
      <c r="AB40" s="24"/>
      <c r="AC40" s="24"/>
      <c r="AD40" s="24"/>
      <c r="AE40" s="24"/>
      <c r="AL40" s="14"/>
    </row>
    <row r="41" ht="15.75" customHeight="1">
      <c r="A41" s="47"/>
      <c r="B41" s="32"/>
      <c r="C41" s="32"/>
      <c r="D41" s="32"/>
      <c r="E41" s="32"/>
      <c r="F41" s="32"/>
      <c r="H41" s="33"/>
      <c r="I41" s="49"/>
      <c r="J41" s="49"/>
      <c r="K41" s="49"/>
      <c r="L41" s="49"/>
      <c r="M41" s="49"/>
      <c r="N41" s="42">
        <f t="shared" si="1"/>
        <v>0</v>
      </c>
      <c r="R41" s="36"/>
      <c r="S41" s="37"/>
      <c r="T41" s="37"/>
      <c r="U41" s="37"/>
      <c r="V41" s="37"/>
      <c r="W41" s="37"/>
      <c r="X41" s="24"/>
      <c r="Y41" s="24"/>
      <c r="Z41" s="24"/>
      <c r="AA41" s="24"/>
      <c r="AB41" s="24"/>
      <c r="AC41" s="24"/>
      <c r="AD41" s="24"/>
      <c r="AE41" s="24"/>
      <c r="AL41" s="14"/>
    </row>
    <row r="42" ht="15.75" customHeight="1">
      <c r="A42" s="47"/>
      <c r="B42" s="32"/>
      <c r="C42" s="32"/>
      <c r="D42" s="32"/>
      <c r="E42" s="32"/>
      <c r="F42" s="32"/>
      <c r="H42" s="33"/>
      <c r="I42" s="49"/>
      <c r="J42" s="49"/>
      <c r="K42" s="49"/>
      <c r="L42" s="49"/>
      <c r="M42" s="49"/>
      <c r="N42" s="42">
        <f t="shared" si="1"/>
        <v>0</v>
      </c>
      <c r="R42" s="36"/>
      <c r="S42" s="37"/>
      <c r="T42" s="37"/>
      <c r="U42" s="37"/>
      <c r="V42" s="37"/>
      <c r="W42" s="37"/>
      <c r="X42" s="24"/>
      <c r="Y42" s="24"/>
      <c r="Z42" s="24"/>
      <c r="AA42" s="24"/>
      <c r="AB42" s="24"/>
      <c r="AC42" s="24"/>
      <c r="AD42" s="24"/>
      <c r="AE42" s="24"/>
      <c r="AL42" s="14"/>
    </row>
    <row r="43" ht="15.75" customHeight="1">
      <c r="A43" s="47"/>
      <c r="B43" s="32"/>
      <c r="C43" s="32"/>
      <c r="D43" s="32"/>
      <c r="E43" s="32"/>
      <c r="F43" s="32"/>
      <c r="H43" s="33"/>
      <c r="I43" s="49"/>
      <c r="J43" s="49"/>
      <c r="K43" s="49"/>
      <c r="L43" s="49"/>
      <c r="M43" s="49"/>
      <c r="N43" s="42">
        <f t="shared" si="1"/>
        <v>0</v>
      </c>
      <c r="R43" s="36"/>
      <c r="S43" s="37"/>
      <c r="T43" s="37"/>
      <c r="U43" s="37"/>
      <c r="V43" s="37"/>
      <c r="W43" s="37"/>
      <c r="X43" s="24"/>
      <c r="Y43" s="24"/>
      <c r="Z43" s="24"/>
      <c r="AA43" s="24"/>
      <c r="AB43" s="24"/>
      <c r="AC43" s="24"/>
      <c r="AD43" s="24"/>
      <c r="AE43" s="24"/>
      <c r="AL43" s="14"/>
    </row>
    <row r="44" ht="15.75" customHeight="1">
      <c r="A44" s="47"/>
      <c r="B44" s="32"/>
      <c r="C44" s="32"/>
      <c r="D44" s="32"/>
      <c r="E44" s="32"/>
      <c r="F44" s="32"/>
      <c r="H44" s="33"/>
      <c r="I44" s="49"/>
      <c r="J44" s="49"/>
      <c r="K44" s="49"/>
      <c r="L44" s="49"/>
      <c r="M44" s="49"/>
      <c r="N44" s="42">
        <f t="shared" si="1"/>
        <v>0</v>
      </c>
      <c r="R44" s="36"/>
      <c r="S44" s="37"/>
      <c r="T44" s="37"/>
      <c r="U44" s="37"/>
      <c r="V44" s="37"/>
      <c r="W44" s="37"/>
      <c r="X44" s="24"/>
      <c r="Y44" s="24"/>
      <c r="Z44" s="24"/>
      <c r="AA44" s="24"/>
      <c r="AB44" s="24"/>
      <c r="AC44" s="24"/>
      <c r="AD44" s="24"/>
      <c r="AE44" s="24"/>
      <c r="AL44" s="14"/>
    </row>
    <row r="45" ht="15.75" customHeight="1">
      <c r="A45" s="47"/>
      <c r="B45" s="32"/>
      <c r="C45" s="32"/>
      <c r="D45" s="32"/>
      <c r="E45" s="32"/>
      <c r="F45" s="32"/>
      <c r="H45" s="58" t="s">
        <v>8</v>
      </c>
      <c r="I45" s="59">
        <f>COUNT(I4:M44)</f>
        <v>0</v>
      </c>
      <c r="J45" s="6"/>
      <c r="L45" s="60" t="s">
        <v>3</v>
      </c>
      <c r="M45" s="5"/>
      <c r="N45" s="58">
        <f>SUM(N4:N44)</f>
        <v>0</v>
      </c>
      <c r="R45" s="36"/>
      <c r="S45" s="37"/>
      <c r="T45" s="37"/>
      <c r="U45" s="37"/>
      <c r="V45" s="37"/>
      <c r="W45" s="37"/>
      <c r="X45" s="24"/>
      <c r="Y45" s="24"/>
      <c r="Z45" s="24"/>
      <c r="AA45" s="24"/>
      <c r="AB45" s="24"/>
      <c r="AC45" s="24"/>
      <c r="AD45" s="24"/>
      <c r="AE45" s="24"/>
      <c r="AL45" s="14"/>
    </row>
    <row r="46" ht="15.75" customHeight="1">
      <c r="A46" s="47"/>
      <c r="B46" s="32"/>
      <c r="C46" s="32"/>
      <c r="D46" s="32"/>
      <c r="E46" s="32"/>
      <c r="F46" s="32"/>
      <c r="R46" s="36"/>
      <c r="S46" s="37"/>
      <c r="T46" s="37"/>
      <c r="U46" s="37"/>
      <c r="V46" s="37"/>
      <c r="W46" s="37"/>
      <c r="X46" s="24"/>
      <c r="Y46" s="24"/>
      <c r="Z46" s="24"/>
      <c r="AA46" s="24"/>
      <c r="AB46" s="24"/>
      <c r="AC46" s="24"/>
      <c r="AD46" s="24"/>
      <c r="AE46" s="24"/>
      <c r="AL46" s="14"/>
    </row>
    <row r="47" ht="15.75" customHeight="1">
      <c r="A47" s="47"/>
      <c r="B47" s="32"/>
      <c r="C47" s="32"/>
      <c r="D47" s="32"/>
      <c r="E47" s="32"/>
      <c r="F47" s="32"/>
      <c r="H47" s="61"/>
      <c r="I47" s="61"/>
      <c r="J47" s="61"/>
      <c r="K47" s="61"/>
      <c r="L47" s="61"/>
      <c r="M47" s="61"/>
      <c r="N47" s="61"/>
      <c r="R47" s="36"/>
      <c r="S47" s="37"/>
      <c r="T47" s="37"/>
      <c r="U47" s="37"/>
      <c r="V47" s="37"/>
      <c r="W47" s="37"/>
      <c r="X47" s="24"/>
      <c r="Y47" s="24"/>
      <c r="Z47" s="24"/>
      <c r="AA47" s="24"/>
      <c r="AB47" s="24"/>
      <c r="AC47" s="24"/>
      <c r="AD47" s="24"/>
      <c r="AE47" s="24"/>
      <c r="AL47" s="14"/>
    </row>
    <row r="48" ht="15.75" customHeight="1">
      <c r="A48" s="47"/>
      <c r="B48" s="32"/>
      <c r="C48" s="32"/>
      <c r="D48" s="32"/>
      <c r="E48" s="32"/>
      <c r="F48" s="32"/>
      <c r="R48" s="36"/>
      <c r="S48" s="37"/>
      <c r="T48" s="37"/>
      <c r="U48" s="37"/>
      <c r="V48" s="37"/>
      <c r="W48" s="37"/>
      <c r="X48" s="24"/>
      <c r="Y48" s="24"/>
      <c r="Z48" s="24"/>
      <c r="AA48" s="24"/>
      <c r="AB48" s="24"/>
      <c r="AC48" s="24"/>
      <c r="AD48" s="24"/>
      <c r="AE48" s="24"/>
      <c r="AL48" s="14"/>
    </row>
    <row r="49" ht="15.75" customHeight="1">
      <c r="A49" s="47"/>
      <c r="B49" s="32"/>
      <c r="C49" s="32"/>
      <c r="D49" s="32"/>
      <c r="E49" s="32"/>
      <c r="F49" s="32"/>
      <c r="H49" s="62" t="s">
        <v>1</v>
      </c>
      <c r="I49" s="12"/>
      <c r="J49" s="12"/>
      <c r="K49" s="12"/>
      <c r="L49" s="12"/>
      <c r="M49" s="12"/>
      <c r="N49" s="13"/>
      <c r="R49" s="36"/>
      <c r="S49" s="37"/>
      <c r="T49" s="37"/>
      <c r="U49" s="37"/>
      <c r="V49" s="37"/>
      <c r="W49" s="37"/>
      <c r="X49" s="24"/>
      <c r="Y49" s="24"/>
      <c r="Z49" s="24"/>
      <c r="AA49" s="24"/>
      <c r="AB49" s="24"/>
      <c r="AC49" s="24"/>
      <c r="AD49" s="24"/>
      <c r="AE49" s="24"/>
      <c r="AL49" s="14"/>
    </row>
    <row r="50" ht="15.75" customHeight="1">
      <c r="A50" s="47"/>
      <c r="B50" s="32"/>
      <c r="C50" s="32"/>
      <c r="D50" s="32"/>
      <c r="E50" s="32"/>
      <c r="F50" s="32"/>
      <c r="H50" s="63"/>
      <c r="I50" s="64"/>
      <c r="J50" s="64"/>
      <c r="K50" s="64"/>
      <c r="L50" s="64"/>
      <c r="M50" s="64"/>
      <c r="N50" s="65"/>
      <c r="R50" s="36"/>
      <c r="S50" s="37"/>
      <c r="T50" s="37"/>
      <c r="U50" s="37"/>
      <c r="V50" s="37"/>
      <c r="W50" s="37"/>
      <c r="X50" s="24"/>
      <c r="Y50" s="24"/>
      <c r="Z50" s="24"/>
      <c r="AA50" s="24"/>
      <c r="AB50" s="24"/>
      <c r="AC50" s="24"/>
      <c r="AD50" s="24"/>
      <c r="AE50" s="24"/>
      <c r="AL50" s="14"/>
    </row>
    <row r="51" ht="15.75" customHeight="1">
      <c r="A51" s="47"/>
      <c r="B51" s="32"/>
      <c r="C51" s="32"/>
      <c r="D51" s="32"/>
      <c r="E51" s="32"/>
      <c r="F51" s="32"/>
      <c r="R51" s="36"/>
      <c r="S51" s="37"/>
      <c r="T51" s="37"/>
      <c r="U51" s="37"/>
      <c r="V51" s="37"/>
      <c r="W51" s="37"/>
      <c r="X51" s="24"/>
      <c r="Y51" s="24"/>
      <c r="Z51" s="24"/>
      <c r="AA51" s="24"/>
      <c r="AB51" s="24"/>
      <c r="AC51" s="24"/>
      <c r="AD51" s="24"/>
      <c r="AE51" s="24"/>
      <c r="AL51" s="14"/>
    </row>
    <row r="52" ht="15.75" customHeight="1">
      <c r="A52" s="47"/>
      <c r="B52" s="32"/>
      <c r="C52" s="32"/>
      <c r="D52" s="32"/>
      <c r="E52" s="32"/>
      <c r="F52" s="32"/>
      <c r="H52" s="58" t="s">
        <v>3</v>
      </c>
      <c r="I52" s="60" t="s">
        <v>9</v>
      </c>
      <c r="J52" s="5"/>
      <c r="K52" s="6"/>
      <c r="L52" s="60" t="s">
        <v>10</v>
      </c>
      <c r="M52" s="5"/>
      <c r="N52" s="6"/>
      <c r="R52" s="36"/>
      <c r="S52" s="37"/>
      <c r="T52" s="37"/>
      <c r="U52" s="37"/>
      <c r="V52" s="37"/>
      <c r="W52" s="37"/>
      <c r="X52" s="24"/>
      <c r="Y52" s="24"/>
      <c r="Z52" s="24"/>
      <c r="AA52" s="24"/>
      <c r="AB52" s="24"/>
      <c r="AC52" s="24"/>
      <c r="AD52" s="24"/>
      <c r="AE52" s="24"/>
      <c r="AL52" s="14"/>
    </row>
    <row r="53" ht="15.75" customHeight="1">
      <c r="A53" s="60" t="s">
        <v>1</v>
      </c>
      <c r="B53" s="5"/>
      <c r="C53" s="5"/>
      <c r="D53" s="5"/>
      <c r="E53" s="5"/>
      <c r="F53" s="5"/>
      <c r="H53" s="66">
        <f>SUM(B54,N45)</f>
        <v>0</v>
      </c>
      <c r="I53" s="62">
        <f>COUNT(F4:F52,I4:M44)</f>
        <v>0</v>
      </c>
      <c r="J53" s="12"/>
      <c r="K53" s="13"/>
      <c r="L53" s="62">
        <f>SUM(F4:F52)+COUNT(I4:M44)</f>
        <v>0</v>
      </c>
      <c r="M53" s="12"/>
      <c r="N53" s="13"/>
      <c r="R53" s="36"/>
      <c r="S53" s="37"/>
      <c r="T53" s="37"/>
      <c r="U53" s="37"/>
      <c r="V53" s="37"/>
      <c r="W53" s="37"/>
      <c r="X53" s="24"/>
      <c r="Y53" s="24"/>
      <c r="Z53" s="24"/>
      <c r="AA53" s="24"/>
      <c r="AB53" s="24"/>
      <c r="AC53" s="24"/>
      <c r="AD53" s="24"/>
      <c r="AE53" s="24"/>
      <c r="AL53" s="14"/>
    </row>
    <row r="54" ht="15.75" customHeight="1">
      <c r="A54" s="60"/>
      <c r="B54" s="67">
        <f>SUM(B4:B52)</f>
        <v>0</v>
      </c>
      <c r="C54" s="68" t="s">
        <v>11</v>
      </c>
      <c r="D54" s="68"/>
      <c r="E54" s="68"/>
      <c r="F54" s="67">
        <f>SUM(F4:F52)</f>
        <v>0</v>
      </c>
      <c r="H54" s="69"/>
      <c r="I54" s="63"/>
      <c r="J54" s="64"/>
      <c r="K54" s="65"/>
      <c r="L54" s="63"/>
      <c r="M54" s="64"/>
      <c r="N54" s="65"/>
      <c r="R54" s="36"/>
      <c r="S54" s="37"/>
      <c r="T54" s="37"/>
      <c r="U54" s="37"/>
      <c r="V54" s="37"/>
      <c r="W54" s="37"/>
      <c r="X54" s="24"/>
      <c r="Y54" s="24"/>
      <c r="Z54" s="24"/>
      <c r="AA54" s="24"/>
      <c r="AB54" s="24"/>
      <c r="AC54" s="24"/>
      <c r="AD54" s="24"/>
      <c r="AE54" s="24"/>
      <c r="AL54" s="14"/>
    </row>
    <row r="55" ht="15.75" customHeight="1">
      <c r="R55" s="36"/>
      <c r="S55" s="37"/>
      <c r="T55" s="37"/>
      <c r="U55" s="37"/>
      <c r="V55" s="37"/>
      <c r="W55" s="37"/>
      <c r="X55" s="24"/>
      <c r="Y55" s="24"/>
      <c r="Z55" s="24"/>
      <c r="AA55" s="24"/>
      <c r="AB55" s="24"/>
      <c r="AC55" s="24"/>
      <c r="AD55" s="24"/>
      <c r="AE55" s="24"/>
      <c r="AL55" s="14"/>
    </row>
    <row r="56" ht="15.75" customHeight="1">
      <c r="R56" s="36"/>
      <c r="S56" s="37"/>
      <c r="T56" s="37"/>
      <c r="U56" s="37"/>
      <c r="V56" s="37"/>
      <c r="W56" s="37"/>
      <c r="X56" s="24"/>
      <c r="Y56" s="70"/>
      <c r="Z56" s="12"/>
      <c r="AA56" s="12"/>
      <c r="AB56" s="12"/>
      <c r="AC56" s="12"/>
      <c r="AD56" s="12"/>
      <c r="AE56" s="13"/>
      <c r="AL56" s="14"/>
    </row>
    <row r="57" ht="15.75" customHeight="1">
      <c r="A57" s="71" t="s">
        <v>12</v>
      </c>
      <c r="B57" s="72"/>
      <c r="C57" s="72"/>
      <c r="D57" s="73"/>
      <c r="E57" s="73"/>
      <c r="F57" s="73"/>
      <c r="H57" s="74">
        <f>TODAY()</f>
        <v>46173</v>
      </c>
      <c r="I57" s="5"/>
      <c r="J57" s="5"/>
      <c r="K57" s="5"/>
      <c r="L57" s="5"/>
      <c r="M57" s="5"/>
      <c r="N57" s="6"/>
      <c r="R57" s="36"/>
      <c r="S57" s="37"/>
      <c r="T57" s="37"/>
      <c r="U57" s="37"/>
      <c r="V57" s="37"/>
      <c r="W57" s="37"/>
      <c r="X57" s="24"/>
      <c r="Y57" s="63"/>
      <c r="Z57" s="64"/>
      <c r="AA57" s="64"/>
      <c r="AB57" s="64"/>
      <c r="AC57" s="64"/>
      <c r="AD57" s="64"/>
      <c r="AE57" s="65"/>
      <c r="AK57" s="52"/>
      <c r="AL57" s="14"/>
    </row>
    <row r="58" ht="15.75" customHeight="1">
      <c r="A58" s="15" t="s">
        <v>2</v>
      </c>
      <c r="B58" s="16" t="s">
        <v>3</v>
      </c>
      <c r="C58" s="16" t="s">
        <v>4</v>
      </c>
      <c r="D58" s="16" t="s">
        <v>5</v>
      </c>
      <c r="E58" s="16" t="s">
        <v>6</v>
      </c>
      <c r="F58" s="17" t="s">
        <v>7</v>
      </c>
      <c r="H58" s="18" t="s">
        <v>2</v>
      </c>
      <c r="I58" s="19"/>
      <c r="J58" s="19"/>
      <c r="K58" s="19"/>
      <c r="L58" s="19"/>
      <c r="M58" s="19"/>
      <c r="N58" s="20" t="s">
        <v>3</v>
      </c>
      <c r="R58" s="36"/>
      <c r="S58" s="37"/>
      <c r="T58" s="37"/>
      <c r="U58" s="37"/>
      <c r="V58" s="37"/>
      <c r="W58" s="37"/>
      <c r="X58" s="24"/>
      <c r="Y58" s="75"/>
      <c r="Z58" s="75"/>
      <c r="AA58" s="75"/>
      <c r="AB58" s="75"/>
      <c r="AC58" s="75"/>
      <c r="AD58" s="75"/>
      <c r="AE58" s="75"/>
      <c r="AK58" s="52"/>
      <c r="AL58" s="14"/>
    </row>
    <row r="59" ht="15.75" customHeight="1">
      <c r="A59" s="76"/>
      <c r="B59" s="77"/>
      <c r="C59" s="31"/>
      <c r="D59" s="31"/>
      <c r="E59" s="31"/>
      <c r="F59" s="31"/>
      <c r="H59" s="78"/>
      <c r="I59" s="77"/>
      <c r="J59" s="31" t="s">
        <v>13</v>
      </c>
      <c r="K59" s="31" t="s">
        <v>13</v>
      </c>
      <c r="L59" s="31" t="s">
        <v>13</v>
      </c>
      <c r="M59" s="31" t="s">
        <v>13</v>
      </c>
      <c r="N59" s="35">
        <f t="shared" ref="N59:N87" si="2">SUM(I59:M59)</f>
        <v>0</v>
      </c>
      <c r="R59" s="36"/>
      <c r="S59" s="37"/>
      <c r="T59" s="37"/>
      <c r="U59" s="37"/>
      <c r="V59" s="37"/>
      <c r="W59" s="37"/>
      <c r="X59" s="24"/>
      <c r="Y59" s="75"/>
      <c r="Z59" s="75"/>
      <c r="AA59" s="75"/>
      <c r="AB59" s="75"/>
      <c r="AC59" s="75"/>
      <c r="AD59" s="75"/>
      <c r="AE59" s="75"/>
      <c r="AK59" s="52"/>
    </row>
    <row r="60" ht="15.75" customHeight="1">
      <c r="A60" s="78"/>
      <c r="B60" s="77"/>
      <c r="C60" s="32"/>
      <c r="D60" s="32"/>
      <c r="E60" s="32"/>
      <c r="F60" s="32"/>
      <c r="H60" s="78"/>
      <c r="I60" s="77"/>
      <c r="J60" s="31" t="s">
        <v>13</v>
      </c>
      <c r="K60" s="31" t="s">
        <v>13</v>
      </c>
      <c r="L60" s="31" t="s">
        <v>13</v>
      </c>
      <c r="M60" s="31" t="s">
        <v>13</v>
      </c>
      <c r="N60" s="42">
        <f t="shared" si="2"/>
        <v>0</v>
      </c>
      <c r="R60" s="36"/>
      <c r="S60" s="37"/>
      <c r="T60" s="37"/>
      <c r="U60" s="37"/>
      <c r="V60" s="37"/>
      <c r="W60" s="37"/>
      <c r="X60" s="24"/>
      <c r="Y60" s="24"/>
      <c r="Z60" s="24"/>
      <c r="AA60" s="24"/>
      <c r="AB60" s="24"/>
      <c r="AC60" s="24"/>
      <c r="AD60" s="24"/>
      <c r="AE60" s="24"/>
    </row>
    <row r="61" ht="15.75" customHeight="1">
      <c r="A61" s="78"/>
      <c r="B61" s="77"/>
      <c r="C61" s="32"/>
      <c r="D61" s="32"/>
      <c r="E61" s="32"/>
      <c r="F61" s="32"/>
      <c r="H61" s="78"/>
      <c r="I61" s="77"/>
      <c r="J61" s="31" t="s">
        <v>13</v>
      </c>
      <c r="K61" s="31" t="s">
        <v>13</v>
      </c>
      <c r="L61" s="31" t="s">
        <v>13</v>
      </c>
      <c r="M61" s="31" t="s">
        <v>13</v>
      </c>
      <c r="N61" s="42">
        <f t="shared" si="2"/>
        <v>0</v>
      </c>
      <c r="R61" s="79"/>
      <c r="S61" s="80"/>
      <c r="T61" s="80"/>
      <c r="U61" s="80"/>
      <c r="V61" s="80"/>
      <c r="W61" s="80"/>
      <c r="X61" s="24"/>
      <c r="Y61" s="24"/>
      <c r="Z61" s="24"/>
      <c r="AA61" s="24"/>
      <c r="AB61" s="24"/>
      <c r="AC61" s="24"/>
      <c r="AD61" s="24"/>
      <c r="AE61" s="24"/>
    </row>
    <row r="62" ht="15.75" customHeight="1">
      <c r="A62" s="78"/>
      <c r="B62" s="77"/>
      <c r="C62" s="32"/>
      <c r="D62" s="32"/>
      <c r="E62" s="32"/>
      <c r="F62" s="32"/>
      <c r="H62" s="78"/>
      <c r="I62" s="77"/>
      <c r="J62" s="31" t="s">
        <v>13</v>
      </c>
      <c r="K62" s="31" t="s">
        <v>13</v>
      </c>
      <c r="L62" s="31" t="s">
        <v>13</v>
      </c>
      <c r="M62" s="31" t="s">
        <v>13</v>
      </c>
      <c r="N62" s="42">
        <f t="shared" si="2"/>
        <v>0</v>
      </c>
      <c r="R62" s="79"/>
      <c r="S62" s="80"/>
      <c r="T62" s="80"/>
      <c r="U62" s="80"/>
      <c r="V62" s="80"/>
      <c r="W62" s="80"/>
      <c r="X62" s="24"/>
      <c r="Y62" s="24"/>
      <c r="Z62" s="24"/>
      <c r="AA62" s="24"/>
      <c r="AB62" s="24"/>
      <c r="AC62" s="24"/>
      <c r="AD62" s="24"/>
      <c r="AE62" s="24"/>
    </row>
    <row r="63" ht="15.75" customHeight="1">
      <c r="A63" s="78"/>
      <c r="B63" s="81"/>
      <c r="C63" s="31"/>
      <c r="D63" s="31"/>
      <c r="E63" s="31"/>
      <c r="F63" s="31"/>
      <c r="H63" s="78"/>
      <c r="I63" s="77"/>
      <c r="J63" s="31" t="s">
        <v>13</v>
      </c>
      <c r="K63" s="31" t="s">
        <v>13</v>
      </c>
      <c r="L63" s="31" t="s">
        <v>13</v>
      </c>
      <c r="M63" s="31" t="s">
        <v>13</v>
      </c>
      <c r="N63" s="42">
        <f t="shared" si="2"/>
        <v>0</v>
      </c>
      <c r="R63" s="79"/>
      <c r="S63" s="80"/>
      <c r="T63" s="80"/>
      <c r="U63" s="80"/>
      <c r="V63" s="80"/>
      <c r="W63" s="80"/>
      <c r="X63" s="24"/>
      <c r="Y63" s="24"/>
      <c r="Z63" s="24"/>
      <c r="AA63" s="24"/>
      <c r="AB63" s="24"/>
      <c r="AC63" s="24"/>
      <c r="AD63" s="24"/>
      <c r="AE63" s="24"/>
    </row>
    <row r="64" ht="15.75" customHeight="1">
      <c r="A64" s="78"/>
      <c r="B64" s="81"/>
      <c r="C64" s="32"/>
      <c r="D64" s="32"/>
      <c r="E64" s="32"/>
      <c r="F64" s="32"/>
      <c r="H64" s="47" t="s">
        <v>13</v>
      </c>
      <c r="I64" s="31" t="s">
        <v>13</v>
      </c>
      <c r="J64" s="31" t="s">
        <v>13</v>
      </c>
      <c r="K64" s="31" t="s">
        <v>13</v>
      </c>
      <c r="L64" s="31" t="s">
        <v>13</v>
      </c>
      <c r="M64" s="31" t="s">
        <v>13</v>
      </c>
      <c r="N64" s="42">
        <f t="shared" si="2"/>
        <v>0</v>
      </c>
      <c r="R64" s="79"/>
      <c r="S64" s="80"/>
      <c r="T64" s="80"/>
      <c r="U64" s="80"/>
      <c r="V64" s="80"/>
      <c r="W64" s="80"/>
      <c r="X64" s="24"/>
      <c r="Y64" s="54"/>
      <c r="Z64" s="56"/>
      <c r="AA64" s="5"/>
      <c r="AB64" s="6"/>
      <c r="AC64" s="56"/>
      <c r="AD64" s="5"/>
      <c r="AE64" s="6"/>
    </row>
    <row r="65" ht="15.75" customHeight="1">
      <c r="A65" s="78"/>
      <c r="B65" s="81"/>
      <c r="C65" s="32"/>
      <c r="D65" s="32"/>
      <c r="E65" s="32"/>
      <c r="F65" s="32"/>
      <c r="H65" s="47" t="s">
        <v>13</v>
      </c>
      <c r="I65" s="31" t="s">
        <v>13</v>
      </c>
      <c r="J65" s="31" t="s">
        <v>13</v>
      </c>
      <c r="K65" s="31" t="s">
        <v>13</v>
      </c>
      <c r="L65" s="31" t="s">
        <v>13</v>
      </c>
      <c r="M65" s="31" t="s">
        <v>13</v>
      </c>
      <c r="N65" s="42">
        <f t="shared" si="2"/>
        <v>0</v>
      </c>
      <c r="R65" s="56"/>
      <c r="S65" s="5"/>
      <c r="T65" s="5"/>
      <c r="U65" s="5"/>
      <c r="V65" s="5"/>
      <c r="W65" s="5"/>
      <c r="X65" s="24"/>
      <c r="Y65" s="82"/>
      <c r="Z65" s="70"/>
      <c r="AA65" s="12"/>
      <c r="AB65" s="13"/>
      <c r="AC65" s="70"/>
      <c r="AD65" s="12"/>
      <c r="AE65" s="13"/>
    </row>
    <row r="66" ht="15.75" customHeight="1">
      <c r="A66" s="78"/>
      <c r="B66" s="81"/>
      <c r="C66" s="32"/>
      <c r="D66" s="32"/>
      <c r="E66" s="32"/>
      <c r="F66" s="32"/>
      <c r="H66" s="47" t="s">
        <v>13</v>
      </c>
      <c r="I66" s="31" t="s">
        <v>13</v>
      </c>
      <c r="J66" s="31" t="s">
        <v>13</v>
      </c>
      <c r="K66" s="31" t="s">
        <v>13</v>
      </c>
      <c r="L66" s="31" t="s">
        <v>13</v>
      </c>
      <c r="M66" s="31" t="s">
        <v>13</v>
      </c>
      <c r="N66" s="42">
        <f t="shared" si="2"/>
        <v>0</v>
      </c>
      <c r="R66" s="83"/>
      <c r="S66" s="84"/>
      <c r="T66" s="85"/>
      <c r="U66" s="85"/>
      <c r="V66" s="85"/>
      <c r="W66" s="84"/>
      <c r="X66" s="24"/>
      <c r="Y66" s="69"/>
      <c r="Z66" s="63"/>
      <c r="AA66" s="64"/>
      <c r="AB66" s="65"/>
      <c r="AC66" s="63"/>
      <c r="AD66" s="64"/>
      <c r="AE66" s="65"/>
    </row>
    <row r="67" ht="15.75" customHeight="1">
      <c r="A67" s="78"/>
      <c r="B67" s="81"/>
      <c r="C67" s="32"/>
      <c r="D67" s="32"/>
      <c r="E67" s="32"/>
      <c r="F67" s="32"/>
      <c r="H67" s="47" t="s">
        <v>13</v>
      </c>
      <c r="I67" s="31" t="s">
        <v>13</v>
      </c>
      <c r="J67" s="31" t="s">
        <v>13</v>
      </c>
      <c r="K67" s="31" t="s">
        <v>13</v>
      </c>
      <c r="L67" s="31" t="s">
        <v>13</v>
      </c>
      <c r="M67" s="31" t="s">
        <v>13</v>
      </c>
      <c r="N67" s="42">
        <f t="shared" si="2"/>
        <v>0</v>
      </c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</row>
    <row r="68" ht="15.75" customHeight="1">
      <c r="A68" s="78"/>
      <c r="B68" s="81"/>
      <c r="C68" s="32"/>
      <c r="D68" s="32"/>
      <c r="E68" s="32"/>
      <c r="F68" s="32"/>
      <c r="H68" s="47" t="s">
        <v>13</v>
      </c>
      <c r="I68" s="31" t="s">
        <v>13</v>
      </c>
      <c r="J68" s="31" t="s">
        <v>13</v>
      </c>
      <c r="K68" s="31" t="s">
        <v>13</v>
      </c>
      <c r="L68" s="31" t="s">
        <v>13</v>
      </c>
      <c r="M68" s="31" t="s">
        <v>13</v>
      </c>
      <c r="N68" s="42">
        <f t="shared" si="2"/>
        <v>0</v>
      </c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</row>
    <row r="69" ht="15.75" customHeight="1">
      <c r="A69" s="78"/>
      <c r="B69" s="81"/>
      <c r="C69" s="32"/>
      <c r="D69" s="32"/>
      <c r="E69" s="32"/>
      <c r="F69" s="32"/>
      <c r="H69" s="47" t="s">
        <v>13</v>
      </c>
      <c r="I69" s="31" t="s">
        <v>13</v>
      </c>
      <c r="J69" s="31" t="s">
        <v>13</v>
      </c>
      <c r="K69" s="31" t="s">
        <v>13</v>
      </c>
      <c r="L69" s="31" t="s">
        <v>13</v>
      </c>
      <c r="M69" s="31" t="s">
        <v>13</v>
      </c>
      <c r="N69" s="42">
        <f t="shared" si="2"/>
        <v>0</v>
      </c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</row>
    <row r="70" ht="15.75" customHeight="1">
      <c r="A70" s="78"/>
      <c r="B70" s="81"/>
      <c r="C70" s="32"/>
      <c r="D70" s="32"/>
      <c r="E70" s="32"/>
      <c r="F70" s="86"/>
      <c r="G70" s="87"/>
      <c r="H70" s="88" t="s">
        <v>13</v>
      </c>
      <c r="I70" s="31" t="s">
        <v>13</v>
      </c>
      <c r="J70" s="31" t="s">
        <v>13</v>
      </c>
      <c r="K70" s="31" t="s">
        <v>13</v>
      </c>
      <c r="L70" s="31" t="s">
        <v>13</v>
      </c>
      <c r="M70" s="31" t="s">
        <v>13</v>
      </c>
      <c r="N70" s="42">
        <f t="shared" si="2"/>
        <v>0</v>
      </c>
      <c r="R70" s="89"/>
      <c r="S70" s="8"/>
      <c r="T70" s="8"/>
      <c r="U70" s="9"/>
      <c r="V70" s="9"/>
      <c r="W70" s="9"/>
      <c r="X70" s="8"/>
      <c r="Y70" s="8"/>
      <c r="Z70" s="8"/>
      <c r="AA70" s="90"/>
      <c r="AB70" s="5"/>
      <c r="AC70" s="5"/>
      <c r="AD70" s="5"/>
      <c r="AE70" s="6"/>
    </row>
    <row r="71" ht="15.75" customHeight="1">
      <c r="A71" s="78"/>
      <c r="B71" s="81"/>
      <c r="C71" s="32"/>
      <c r="D71" s="32"/>
      <c r="E71" s="32"/>
      <c r="F71" s="32"/>
      <c r="H71" s="47" t="s">
        <v>13</v>
      </c>
      <c r="I71" s="31" t="s">
        <v>13</v>
      </c>
      <c r="J71" s="31" t="s">
        <v>13</v>
      </c>
      <c r="K71" s="31" t="s">
        <v>13</v>
      </c>
      <c r="L71" s="31" t="s">
        <v>13</v>
      </c>
      <c r="M71" s="31" t="s">
        <v>13</v>
      </c>
      <c r="N71" s="42">
        <f t="shared" si="2"/>
        <v>0</v>
      </c>
      <c r="R71" s="21"/>
      <c r="S71" s="22"/>
      <c r="T71" s="22"/>
      <c r="U71" s="22"/>
      <c r="V71" s="22"/>
      <c r="W71" s="23"/>
      <c r="X71" s="24"/>
      <c r="Y71" s="25"/>
      <c r="Z71" s="26"/>
      <c r="AA71" s="26"/>
      <c r="AB71" s="26"/>
      <c r="AC71" s="26"/>
      <c r="AD71" s="26"/>
      <c r="AE71" s="27"/>
    </row>
    <row r="72" ht="15.75" customHeight="1">
      <c r="A72" s="78"/>
      <c r="B72" s="81"/>
      <c r="C72" s="32"/>
      <c r="D72" s="32"/>
      <c r="E72" s="32"/>
      <c r="F72" s="32"/>
      <c r="H72" s="47" t="s">
        <v>13</v>
      </c>
      <c r="I72" s="31" t="s">
        <v>13</v>
      </c>
      <c r="J72" s="31" t="s">
        <v>13</v>
      </c>
      <c r="K72" s="31" t="s">
        <v>13</v>
      </c>
      <c r="L72" s="31" t="s">
        <v>13</v>
      </c>
      <c r="M72" s="31" t="s">
        <v>13</v>
      </c>
      <c r="N72" s="42">
        <f t="shared" si="2"/>
        <v>0</v>
      </c>
      <c r="R72" s="91"/>
      <c r="S72" s="92"/>
      <c r="T72" s="92"/>
      <c r="U72" s="92"/>
      <c r="V72" s="92"/>
      <c r="W72" s="91"/>
      <c r="X72" s="24"/>
      <c r="Y72" s="91"/>
      <c r="Z72" s="92"/>
      <c r="AA72" s="92"/>
      <c r="AB72" s="92"/>
      <c r="AC72" s="92"/>
      <c r="AD72" s="92"/>
      <c r="AE72" s="38"/>
    </row>
    <row r="73" ht="15.75" customHeight="1">
      <c r="A73" s="78"/>
      <c r="B73" s="81"/>
      <c r="C73" s="32"/>
      <c r="D73" s="32"/>
      <c r="E73" s="32"/>
      <c r="F73" s="32"/>
      <c r="H73" s="47" t="s">
        <v>13</v>
      </c>
      <c r="I73" s="31" t="s">
        <v>13</v>
      </c>
      <c r="J73" s="31" t="s">
        <v>13</v>
      </c>
      <c r="K73" s="31" t="s">
        <v>13</v>
      </c>
      <c r="L73" s="31" t="s">
        <v>13</v>
      </c>
      <c r="M73" s="31" t="s">
        <v>13</v>
      </c>
      <c r="N73" s="42">
        <f t="shared" si="2"/>
        <v>0</v>
      </c>
      <c r="R73" s="91"/>
      <c r="S73" s="92"/>
      <c r="T73" s="93"/>
      <c r="U73" s="93"/>
      <c r="V73" s="93"/>
      <c r="W73" s="91"/>
      <c r="X73" s="24"/>
      <c r="Y73" s="91"/>
      <c r="Z73" s="92"/>
      <c r="AA73" s="92"/>
      <c r="AB73" s="92"/>
      <c r="AC73" s="92"/>
      <c r="AD73" s="92"/>
      <c r="AE73" s="43"/>
    </row>
    <row r="74" ht="15.75" customHeight="1">
      <c r="A74" s="78"/>
      <c r="B74" s="81"/>
      <c r="C74" s="32"/>
      <c r="D74" s="32"/>
      <c r="E74" s="32"/>
      <c r="F74" s="32"/>
      <c r="H74" s="47" t="s">
        <v>13</v>
      </c>
      <c r="I74" s="31" t="s">
        <v>13</v>
      </c>
      <c r="J74" s="31" t="s">
        <v>13</v>
      </c>
      <c r="K74" s="31" t="s">
        <v>13</v>
      </c>
      <c r="L74" s="31" t="s">
        <v>13</v>
      </c>
      <c r="M74" s="31" t="s">
        <v>13</v>
      </c>
      <c r="N74" s="42">
        <f t="shared" si="2"/>
        <v>0</v>
      </c>
      <c r="R74" s="91"/>
      <c r="S74" s="92"/>
      <c r="T74" s="93"/>
      <c r="U74" s="93"/>
      <c r="V74" s="93"/>
      <c r="W74" s="91"/>
      <c r="X74" s="24"/>
      <c r="Y74" s="91"/>
      <c r="Z74" s="92"/>
      <c r="AA74" s="92"/>
      <c r="AB74" s="92"/>
      <c r="AC74" s="92"/>
      <c r="AD74" s="92"/>
      <c r="AE74" s="43"/>
    </row>
    <row r="75" ht="15.75" customHeight="1">
      <c r="A75" s="78"/>
      <c r="B75" s="81"/>
      <c r="C75" s="32"/>
      <c r="D75" s="32"/>
      <c r="E75" s="32"/>
      <c r="F75" s="32"/>
      <c r="H75" s="47" t="s">
        <v>13</v>
      </c>
      <c r="I75" s="31" t="s">
        <v>13</v>
      </c>
      <c r="J75" s="31" t="s">
        <v>13</v>
      </c>
      <c r="K75" s="31" t="s">
        <v>13</v>
      </c>
      <c r="L75" s="31" t="s">
        <v>13</v>
      </c>
      <c r="M75" s="31" t="s">
        <v>13</v>
      </c>
      <c r="N75" s="42">
        <f t="shared" si="2"/>
        <v>0</v>
      </c>
      <c r="R75" s="91"/>
      <c r="S75" s="92"/>
      <c r="T75" s="93"/>
      <c r="U75" s="93"/>
      <c r="V75" s="93"/>
      <c r="W75" s="91"/>
      <c r="X75" s="24"/>
      <c r="Y75" s="91"/>
      <c r="Z75" s="92"/>
      <c r="AA75" s="92"/>
      <c r="AB75" s="92"/>
      <c r="AC75" s="92"/>
      <c r="AD75" s="92"/>
      <c r="AE75" s="43"/>
    </row>
    <row r="76" ht="15.75" customHeight="1">
      <c r="A76" s="78"/>
      <c r="B76" s="81"/>
      <c r="C76" s="32"/>
      <c r="D76" s="32"/>
      <c r="E76" s="32"/>
      <c r="F76" s="32"/>
      <c r="H76" s="47" t="s">
        <v>13</v>
      </c>
      <c r="I76" s="31" t="s">
        <v>13</v>
      </c>
      <c r="J76" s="31" t="s">
        <v>13</v>
      </c>
      <c r="K76" s="31" t="s">
        <v>13</v>
      </c>
      <c r="L76" s="31" t="s">
        <v>13</v>
      </c>
      <c r="M76" s="31" t="s">
        <v>13</v>
      </c>
      <c r="N76" s="42">
        <f t="shared" si="2"/>
        <v>0</v>
      </c>
      <c r="R76" s="91"/>
      <c r="S76" s="92"/>
      <c r="T76" s="92"/>
      <c r="U76" s="92"/>
      <c r="V76" s="92"/>
      <c r="W76" s="91"/>
      <c r="X76" s="24"/>
      <c r="Y76" s="91"/>
      <c r="Z76" s="92"/>
      <c r="AA76" s="92"/>
      <c r="AB76" s="92"/>
      <c r="AC76" s="92"/>
      <c r="AD76" s="92"/>
      <c r="AE76" s="43"/>
    </row>
    <row r="77" ht="15.75" customHeight="1">
      <c r="A77" s="78"/>
      <c r="B77" s="81"/>
      <c r="C77" s="32"/>
      <c r="D77" s="32"/>
      <c r="E77" s="32"/>
      <c r="F77" s="32"/>
      <c r="H77" s="47" t="s">
        <v>13</v>
      </c>
      <c r="I77" s="31" t="s">
        <v>13</v>
      </c>
      <c r="J77" s="31" t="s">
        <v>13</v>
      </c>
      <c r="K77" s="31" t="s">
        <v>13</v>
      </c>
      <c r="L77" s="31" t="s">
        <v>13</v>
      </c>
      <c r="M77" s="31" t="s">
        <v>13</v>
      </c>
      <c r="N77" s="42">
        <f t="shared" si="2"/>
        <v>0</v>
      </c>
      <c r="R77" s="91"/>
      <c r="S77" s="92"/>
      <c r="T77" s="92"/>
      <c r="U77" s="92"/>
      <c r="V77" s="92"/>
      <c r="W77" s="91"/>
      <c r="X77" s="24"/>
      <c r="Y77" s="91"/>
      <c r="Z77" s="92"/>
      <c r="AA77" s="92"/>
      <c r="AB77" s="92"/>
      <c r="AC77" s="92"/>
      <c r="AD77" s="92"/>
      <c r="AE77" s="43"/>
    </row>
    <row r="78" ht="15.75" customHeight="1">
      <c r="A78" s="78"/>
      <c r="B78" s="81"/>
      <c r="C78" s="32"/>
      <c r="D78" s="32"/>
      <c r="E78" s="32"/>
      <c r="F78" s="32"/>
      <c r="H78" s="47" t="s">
        <v>13</v>
      </c>
      <c r="I78" s="31" t="s">
        <v>13</v>
      </c>
      <c r="J78" s="31" t="s">
        <v>13</v>
      </c>
      <c r="K78" s="31" t="s">
        <v>13</v>
      </c>
      <c r="L78" s="31" t="s">
        <v>13</v>
      </c>
      <c r="M78" s="31" t="s">
        <v>13</v>
      </c>
      <c r="N78" s="42">
        <f t="shared" si="2"/>
        <v>0</v>
      </c>
      <c r="R78" s="91"/>
      <c r="S78" s="93"/>
      <c r="T78" s="93"/>
      <c r="U78" s="93"/>
      <c r="V78" s="93"/>
      <c r="W78" s="91"/>
      <c r="X78" s="24"/>
      <c r="Y78" s="91"/>
      <c r="Z78" s="93"/>
      <c r="AA78" s="93"/>
      <c r="AB78" s="93"/>
      <c r="AC78" s="93"/>
      <c r="AD78" s="93"/>
      <c r="AE78" s="43"/>
    </row>
    <row r="79" ht="15.75" customHeight="1">
      <c r="A79" s="78"/>
      <c r="B79" s="81"/>
      <c r="C79" s="32"/>
      <c r="D79" s="32"/>
      <c r="E79" s="32"/>
      <c r="F79" s="32"/>
      <c r="H79" s="47" t="s">
        <v>13</v>
      </c>
      <c r="I79" s="31" t="s">
        <v>13</v>
      </c>
      <c r="J79" s="31" t="s">
        <v>13</v>
      </c>
      <c r="K79" s="31" t="s">
        <v>13</v>
      </c>
      <c r="L79" s="31" t="s">
        <v>13</v>
      </c>
      <c r="M79" s="31" t="s">
        <v>13</v>
      </c>
      <c r="N79" s="42">
        <f t="shared" si="2"/>
        <v>0</v>
      </c>
      <c r="R79" s="91"/>
      <c r="S79" s="93"/>
      <c r="T79" s="93"/>
      <c r="U79" s="93"/>
      <c r="V79" s="93"/>
      <c r="W79" s="91"/>
      <c r="X79" s="24"/>
      <c r="Y79" s="91"/>
      <c r="Z79" s="93"/>
      <c r="AA79" s="93"/>
      <c r="AB79" s="93"/>
      <c r="AC79" s="93"/>
      <c r="AD79" s="93"/>
      <c r="AE79" s="43"/>
    </row>
    <row r="80" ht="15.75" customHeight="1">
      <c r="A80" s="78"/>
      <c r="B80" s="81"/>
      <c r="C80" s="32"/>
      <c r="D80" s="32"/>
      <c r="E80" s="32"/>
      <c r="F80" s="32"/>
      <c r="H80" s="47" t="s">
        <v>13</v>
      </c>
      <c r="I80" s="31" t="s">
        <v>13</v>
      </c>
      <c r="J80" s="31" t="s">
        <v>13</v>
      </c>
      <c r="K80" s="31" t="s">
        <v>13</v>
      </c>
      <c r="L80" s="31" t="s">
        <v>13</v>
      </c>
      <c r="M80" s="31" t="s">
        <v>13</v>
      </c>
      <c r="N80" s="42">
        <f t="shared" si="2"/>
        <v>0</v>
      </c>
      <c r="R80" s="91"/>
      <c r="S80" s="93"/>
      <c r="T80" s="93"/>
      <c r="U80" s="93"/>
      <c r="V80" s="93"/>
      <c r="W80" s="91"/>
      <c r="X80" s="24"/>
      <c r="Y80" s="91"/>
      <c r="Z80" s="93"/>
      <c r="AA80" s="93"/>
      <c r="AB80" s="93"/>
      <c r="AC80" s="93"/>
      <c r="AD80" s="93"/>
      <c r="AE80" s="43"/>
    </row>
    <row r="81" ht="15.75" customHeight="1">
      <c r="A81" s="78"/>
      <c r="B81" s="81"/>
      <c r="C81" s="32"/>
      <c r="D81" s="32"/>
      <c r="E81" s="32"/>
      <c r="F81" s="32"/>
      <c r="H81" s="47" t="s">
        <v>13</v>
      </c>
      <c r="I81" s="31" t="s">
        <v>13</v>
      </c>
      <c r="J81" s="31" t="s">
        <v>13</v>
      </c>
      <c r="K81" s="31" t="s">
        <v>13</v>
      </c>
      <c r="L81" s="31" t="s">
        <v>13</v>
      </c>
      <c r="M81" s="31" t="s">
        <v>13</v>
      </c>
      <c r="N81" s="42">
        <f t="shared" si="2"/>
        <v>0</v>
      </c>
      <c r="R81" s="91"/>
      <c r="S81" s="93"/>
      <c r="T81" s="93"/>
      <c r="U81" s="93"/>
      <c r="V81" s="93"/>
      <c r="W81" s="91"/>
      <c r="X81" s="24"/>
      <c r="Y81" s="91"/>
      <c r="Z81" s="93"/>
      <c r="AA81" s="93"/>
      <c r="AB81" s="93"/>
      <c r="AC81" s="93"/>
      <c r="AD81" s="93"/>
      <c r="AE81" s="43"/>
    </row>
    <row r="82" ht="15.75" customHeight="1">
      <c r="A82" s="78"/>
      <c r="B82" s="81"/>
      <c r="C82" s="32"/>
      <c r="D82" s="32"/>
      <c r="E82" s="32"/>
      <c r="F82" s="32"/>
      <c r="H82" s="47" t="s">
        <v>13</v>
      </c>
      <c r="I82" s="31" t="s">
        <v>13</v>
      </c>
      <c r="J82" s="31" t="s">
        <v>13</v>
      </c>
      <c r="K82" s="31" t="s">
        <v>13</v>
      </c>
      <c r="L82" s="31" t="s">
        <v>13</v>
      </c>
      <c r="M82" s="31" t="s">
        <v>13</v>
      </c>
      <c r="N82" s="42">
        <f t="shared" si="2"/>
        <v>0</v>
      </c>
      <c r="R82" s="91"/>
      <c r="S82" s="93"/>
      <c r="T82" s="93"/>
      <c r="U82" s="93"/>
      <c r="V82" s="93"/>
      <c r="W82" s="91"/>
      <c r="X82" s="24"/>
      <c r="Y82" s="91"/>
      <c r="Z82" s="93"/>
      <c r="AA82" s="93"/>
      <c r="AB82" s="93"/>
      <c r="AC82" s="93"/>
      <c r="AD82" s="93"/>
      <c r="AE82" s="43"/>
    </row>
    <row r="83" ht="15.75" customHeight="1">
      <c r="A83" s="78"/>
      <c r="B83" s="81"/>
      <c r="C83" s="31"/>
      <c r="D83" s="32"/>
      <c r="E83" s="32"/>
      <c r="F83" s="32"/>
      <c r="H83" s="47" t="s">
        <v>13</v>
      </c>
      <c r="I83" s="31" t="s">
        <v>13</v>
      </c>
      <c r="J83" s="31" t="s">
        <v>13</v>
      </c>
      <c r="K83" s="31" t="s">
        <v>13</v>
      </c>
      <c r="L83" s="31" t="s">
        <v>13</v>
      </c>
      <c r="M83" s="31" t="s">
        <v>13</v>
      </c>
      <c r="N83" s="42">
        <f t="shared" si="2"/>
        <v>0</v>
      </c>
      <c r="R83" s="91"/>
      <c r="S83" s="93"/>
      <c r="T83" s="93"/>
      <c r="U83" s="93"/>
      <c r="V83" s="93"/>
      <c r="W83" s="91"/>
      <c r="X83" s="24"/>
      <c r="Y83" s="91"/>
      <c r="Z83" s="93"/>
      <c r="AA83" s="93"/>
      <c r="AB83" s="93"/>
      <c r="AC83" s="93"/>
      <c r="AD83" s="93"/>
      <c r="AE83" s="43"/>
    </row>
    <row r="84" ht="15.75" customHeight="1">
      <c r="A84" s="78"/>
      <c r="B84" s="81"/>
      <c r="C84" s="32"/>
      <c r="D84" s="32"/>
      <c r="E84" s="32"/>
      <c r="F84" s="32"/>
      <c r="H84" s="47" t="s">
        <v>13</v>
      </c>
      <c r="I84" s="32" t="s">
        <v>13</v>
      </c>
      <c r="J84" s="32" t="s">
        <v>13</v>
      </c>
      <c r="K84" s="32" t="s">
        <v>13</v>
      </c>
      <c r="L84" s="32" t="s">
        <v>13</v>
      </c>
      <c r="M84" s="32" t="s">
        <v>13</v>
      </c>
      <c r="N84" s="42">
        <f t="shared" si="2"/>
        <v>0</v>
      </c>
      <c r="R84" s="91"/>
      <c r="S84" s="93"/>
      <c r="T84" s="93"/>
      <c r="U84" s="93"/>
      <c r="V84" s="93"/>
      <c r="W84" s="91"/>
      <c r="X84" s="24"/>
      <c r="Y84" s="91"/>
      <c r="Z84" s="93"/>
      <c r="AA84" s="93"/>
      <c r="AB84" s="93"/>
      <c r="AC84" s="93"/>
      <c r="AD84" s="93"/>
      <c r="AE84" s="43"/>
    </row>
    <row r="85" ht="15.75" customHeight="1">
      <c r="A85" s="78"/>
      <c r="B85" s="81"/>
      <c r="C85" s="32"/>
      <c r="D85" s="32"/>
      <c r="E85" s="32"/>
      <c r="F85" s="32"/>
      <c r="H85" s="47" t="s">
        <v>13</v>
      </c>
      <c r="I85" s="32" t="s">
        <v>13</v>
      </c>
      <c r="J85" s="32" t="s">
        <v>13</v>
      </c>
      <c r="K85" s="32" t="s">
        <v>13</v>
      </c>
      <c r="L85" s="32" t="s">
        <v>13</v>
      </c>
      <c r="M85" s="32" t="s">
        <v>13</v>
      </c>
      <c r="N85" s="42">
        <f t="shared" si="2"/>
        <v>0</v>
      </c>
      <c r="R85" s="91"/>
      <c r="S85" s="93"/>
      <c r="T85" s="93"/>
      <c r="U85" s="93"/>
      <c r="V85" s="93"/>
      <c r="W85" s="91"/>
      <c r="X85" s="24"/>
      <c r="Y85" s="91"/>
      <c r="Z85" s="93"/>
      <c r="AA85" s="93"/>
      <c r="AB85" s="93"/>
      <c r="AC85" s="93"/>
      <c r="AD85" s="93"/>
      <c r="AE85" s="43"/>
    </row>
    <row r="86" ht="15.75" customHeight="1">
      <c r="A86" s="78"/>
      <c r="B86" s="81"/>
      <c r="C86" s="32"/>
      <c r="D86" s="32"/>
      <c r="E86" s="32"/>
      <c r="F86" s="32"/>
      <c r="H86" s="47" t="s">
        <v>13</v>
      </c>
      <c r="I86" s="32" t="s">
        <v>13</v>
      </c>
      <c r="J86" s="32" t="s">
        <v>13</v>
      </c>
      <c r="K86" s="32" t="s">
        <v>13</v>
      </c>
      <c r="L86" s="32" t="s">
        <v>13</v>
      </c>
      <c r="M86" s="32" t="s">
        <v>13</v>
      </c>
      <c r="N86" s="42">
        <f t="shared" si="2"/>
        <v>0</v>
      </c>
      <c r="R86" s="91"/>
      <c r="S86" s="93"/>
      <c r="T86" s="93"/>
      <c r="U86" s="93"/>
      <c r="V86" s="93"/>
      <c r="W86" s="91"/>
      <c r="X86" s="24"/>
      <c r="Y86" s="91"/>
      <c r="Z86" s="93"/>
      <c r="AA86" s="93"/>
      <c r="AB86" s="93"/>
      <c r="AC86" s="93"/>
      <c r="AD86" s="93"/>
      <c r="AE86" s="43"/>
    </row>
    <row r="87" ht="15.75" customHeight="1">
      <c r="A87" s="78"/>
      <c r="B87" s="81"/>
      <c r="C87" s="32"/>
      <c r="D87" s="32"/>
      <c r="E87" s="32"/>
      <c r="F87" s="32"/>
      <c r="H87" s="47" t="s">
        <v>13</v>
      </c>
      <c r="I87" s="32" t="s">
        <v>13</v>
      </c>
      <c r="J87" s="32" t="s">
        <v>13</v>
      </c>
      <c r="K87" s="32" t="s">
        <v>13</v>
      </c>
      <c r="L87" s="32" t="s">
        <v>13</v>
      </c>
      <c r="M87" s="32" t="s">
        <v>13</v>
      </c>
      <c r="N87" s="42">
        <f t="shared" si="2"/>
        <v>0</v>
      </c>
      <c r="R87" s="91"/>
      <c r="S87" s="93"/>
      <c r="T87" s="93"/>
      <c r="U87" s="93"/>
      <c r="V87" s="93"/>
      <c r="W87" s="91"/>
      <c r="X87" s="24"/>
      <c r="Y87" s="91"/>
      <c r="Z87" s="93"/>
      <c r="AA87" s="93"/>
      <c r="AB87" s="93"/>
      <c r="AC87" s="93"/>
      <c r="AD87" s="93"/>
      <c r="AE87" s="43"/>
    </row>
    <row r="88" ht="15.75" customHeight="1">
      <c r="A88" s="78"/>
      <c r="B88" s="81"/>
      <c r="C88" s="32"/>
      <c r="D88" s="32"/>
      <c r="E88" s="32"/>
      <c r="F88" s="32"/>
      <c r="H88" s="58" t="s">
        <v>8</v>
      </c>
      <c r="I88" s="59">
        <f>COUNT(I59:M87)</f>
        <v>0</v>
      </c>
      <c r="J88" s="6"/>
      <c r="L88" s="60" t="s">
        <v>3</v>
      </c>
      <c r="M88" s="5"/>
      <c r="N88" s="58">
        <f>SUM(N59:N87)</f>
        <v>0</v>
      </c>
      <c r="R88" s="91"/>
      <c r="S88" s="93"/>
      <c r="T88" s="93"/>
      <c r="U88" s="93"/>
      <c r="V88" s="93"/>
      <c r="W88" s="91"/>
      <c r="X88" s="24"/>
      <c r="Y88" s="91"/>
      <c r="Z88" s="93"/>
      <c r="AA88" s="93"/>
      <c r="AB88" s="93"/>
      <c r="AC88" s="93"/>
      <c r="AD88" s="93"/>
      <c r="AE88" s="43"/>
    </row>
    <row r="89" ht="15.75" customHeight="1">
      <c r="A89" s="78"/>
      <c r="B89" s="81"/>
      <c r="C89" s="32"/>
      <c r="D89" s="32"/>
      <c r="E89" s="32"/>
      <c r="F89" s="32"/>
      <c r="R89" s="91"/>
      <c r="S89" s="93"/>
      <c r="T89" s="93"/>
      <c r="U89" s="93"/>
      <c r="V89" s="93"/>
      <c r="W89" s="91"/>
      <c r="X89" s="24"/>
      <c r="Y89" s="91"/>
      <c r="Z89" s="93"/>
      <c r="AA89" s="93"/>
      <c r="AB89" s="93"/>
      <c r="AC89" s="93"/>
      <c r="AD89" s="93"/>
      <c r="AE89" s="43"/>
    </row>
    <row r="90" ht="15.75" customHeight="1">
      <c r="A90" s="78"/>
      <c r="B90" s="81"/>
      <c r="C90" s="32"/>
      <c r="D90" s="32"/>
      <c r="E90" s="32"/>
      <c r="F90" s="32"/>
      <c r="R90" s="91"/>
      <c r="S90" s="93"/>
      <c r="T90" s="93"/>
      <c r="U90" s="93"/>
      <c r="V90" s="93"/>
      <c r="W90" s="91"/>
      <c r="X90" s="24"/>
      <c r="Y90" s="91"/>
      <c r="Z90" s="93"/>
      <c r="AA90" s="93"/>
      <c r="AB90" s="93"/>
      <c r="AC90" s="93"/>
      <c r="AD90" s="93"/>
      <c r="AE90" s="43"/>
    </row>
    <row r="91" ht="15.75" customHeight="1">
      <c r="A91" s="78"/>
      <c r="B91" s="81"/>
      <c r="C91" s="32"/>
      <c r="D91" s="32"/>
      <c r="E91" s="32"/>
      <c r="F91" s="32"/>
      <c r="R91" s="91"/>
      <c r="S91" s="93"/>
      <c r="T91" s="93"/>
      <c r="U91" s="93"/>
      <c r="V91" s="93"/>
      <c r="W91" s="91"/>
      <c r="X91" s="24"/>
      <c r="Y91" s="91"/>
      <c r="Z91" s="93"/>
      <c r="AA91" s="93"/>
      <c r="AB91" s="93"/>
      <c r="AC91" s="93"/>
      <c r="AD91" s="93"/>
      <c r="AE91" s="43"/>
    </row>
    <row r="92" ht="15.75" customHeight="1">
      <c r="A92" s="78"/>
      <c r="B92" s="81"/>
      <c r="C92" s="32"/>
      <c r="D92" s="32"/>
      <c r="E92" s="32"/>
      <c r="F92" s="32"/>
      <c r="R92" s="91"/>
      <c r="S92" s="93"/>
      <c r="T92" s="93"/>
      <c r="U92" s="93"/>
      <c r="V92" s="93"/>
      <c r="W92" s="91"/>
      <c r="X92" s="24"/>
      <c r="Y92" s="91"/>
      <c r="Z92" s="93"/>
      <c r="AA92" s="93"/>
      <c r="AB92" s="93"/>
      <c r="AC92" s="93"/>
      <c r="AD92" s="93"/>
      <c r="AE92" s="43"/>
    </row>
    <row r="93" ht="15.75" customHeight="1">
      <c r="A93" s="78"/>
      <c r="B93" s="81"/>
      <c r="C93" s="94"/>
      <c r="D93" s="94"/>
      <c r="E93" s="94"/>
      <c r="F93" s="32"/>
      <c r="R93" s="91"/>
      <c r="S93" s="93"/>
      <c r="T93" s="93"/>
      <c r="U93" s="93"/>
      <c r="V93" s="93"/>
      <c r="W93" s="91"/>
      <c r="X93" s="24"/>
      <c r="Y93" s="91"/>
      <c r="Z93" s="93"/>
      <c r="AA93" s="93"/>
      <c r="AB93" s="93"/>
      <c r="AC93" s="93"/>
      <c r="AD93" s="93"/>
      <c r="AE93" s="43"/>
    </row>
    <row r="94" ht="15.75" customHeight="1">
      <c r="A94" s="78"/>
      <c r="B94" s="81"/>
      <c r="C94" s="94"/>
      <c r="D94" s="94"/>
      <c r="E94" s="94"/>
      <c r="F94" s="32"/>
      <c r="R94" s="91"/>
      <c r="S94" s="93"/>
      <c r="T94" s="93"/>
      <c r="U94" s="93"/>
      <c r="V94" s="93"/>
      <c r="W94" s="91"/>
      <c r="X94" s="24"/>
      <c r="Y94" s="91"/>
      <c r="Z94" s="93"/>
      <c r="AA94" s="93"/>
      <c r="AB94" s="93"/>
      <c r="AC94" s="93"/>
      <c r="AD94" s="93"/>
      <c r="AE94" s="43"/>
    </row>
    <row r="95" ht="15.75" customHeight="1">
      <c r="A95" s="78"/>
      <c r="B95" s="81"/>
      <c r="C95" s="94"/>
      <c r="D95" s="94"/>
      <c r="E95" s="94"/>
      <c r="F95" s="32"/>
      <c r="R95" s="91"/>
      <c r="S95" s="93"/>
      <c r="T95" s="93"/>
      <c r="U95" s="93"/>
      <c r="V95" s="93"/>
      <c r="W95" s="91"/>
      <c r="X95" s="24"/>
      <c r="Y95" s="91"/>
      <c r="Z95" s="93"/>
      <c r="AA95" s="93"/>
      <c r="AB95" s="93"/>
      <c r="AC95" s="93"/>
      <c r="AD95" s="93"/>
      <c r="AE95" s="43"/>
    </row>
    <row r="96" ht="15.75" customHeight="1">
      <c r="A96" s="78"/>
      <c r="B96" s="81"/>
      <c r="C96" s="94"/>
      <c r="D96" s="94"/>
      <c r="E96" s="94"/>
      <c r="F96" s="32"/>
      <c r="R96" s="91"/>
      <c r="S96" s="93"/>
      <c r="T96" s="93"/>
      <c r="U96" s="93"/>
      <c r="V96" s="93"/>
      <c r="W96" s="91"/>
      <c r="X96" s="24"/>
      <c r="Y96" s="91"/>
      <c r="Z96" s="93"/>
      <c r="AA96" s="93"/>
      <c r="AB96" s="93"/>
      <c r="AC96" s="93"/>
      <c r="AD96" s="93"/>
      <c r="AE96" s="43"/>
    </row>
    <row r="97" ht="15.75" customHeight="1">
      <c r="A97" s="78"/>
      <c r="B97" s="81"/>
      <c r="C97" s="94"/>
      <c r="D97" s="94"/>
      <c r="E97" s="94"/>
      <c r="F97" s="32"/>
      <c r="H97" s="62" t="s">
        <v>1</v>
      </c>
      <c r="I97" s="12"/>
      <c r="J97" s="12"/>
      <c r="K97" s="12"/>
      <c r="L97" s="12"/>
      <c r="M97" s="12"/>
      <c r="N97" s="13"/>
      <c r="R97" s="91"/>
      <c r="S97" s="93"/>
      <c r="T97" s="93"/>
      <c r="U97" s="93"/>
      <c r="V97" s="93"/>
      <c r="W97" s="91"/>
      <c r="X97" s="24"/>
      <c r="Y97" s="91"/>
      <c r="Z97" s="93"/>
      <c r="AA97" s="93"/>
      <c r="AB97" s="93"/>
      <c r="AC97" s="93"/>
      <c r="AD97" s="93"/>
      <c r="AE97" s="43"/>
    </row>
    <row r="98" ht="15.75" customHeight="1">
      <c r="A98" s="78"/>
      <c r="B98" s="81"/>
      <c r="C98" s="94"/>
      <c r="D98" s="94"/>
      <c r="E98" s="94"/>
      <c r="F98" s="32"/>
      <c r="H98" s="63"/>
      <c r="I98" s="64"/>
      <c r="J98" s="64"/>
      <c r="K98" s="64"/>
      <c r="L98" s="64"/>
      <c r="M98" s="64"/>
      <c r="N98" s="65"/>
      <c r="R98" s="91"/>
      <c r="S98" s="93"/>
      <c r="T98" s="93"/>
      <c r="U98" s="93"/>
      <c r="V98" s="93"/>
      <c r="W98" s="91"/>
      <c r="X98" s="24"/>
      <c r="Y98" s="91"/>
      <c r="Z98" s="93"/>
      <c r="AA98" s="93"/>
      <c r="AB98" s="93"/>
      <c r="AC98" s="93"/>
      <c r="AD98" s="93"/>
      <c r="AE98" s="43"/>
    </row>
    <row r="99" ht="15.75" customHeight="1">
      <c r="A99" s="78"/>
      <c r="B99" s="81"/>
      <c r="C99" s="94"/>
      <c r="D99" s="94"/>
      <c r="E99" s="94"/>
      <c r="F99" s="32"/>
      <c r="R99" s="91"/>
      <c r="S99" s="93"/>
      <c r="T99" s="93"/>
      <c r="U99" s="93"/>
      <c r="V99" s="93"/>
      <c r="W99" s="91"/>
      <c r="X99" s="24"/>
      <c r="Y99" s="91"/>
      <c r="Z99" s="93"/>
      <c r="AA99" s="93"/>
      <c r="AB99" s="93"/>
      <c r="AC99" s="93"/>
      <c r="AD99" s="93"/>
      <c r="AE99" s="43"/>
    </row>
    <row r="100" ht="15.75" customHeight="1">
      <c r="A100" s="47"/>
      <c r="B100" s="32"/>
      <c r="C100" s="32"/>
      <c r="D100" s="32"/>
      <c r="E100" s="32"/>
      <c r="F100" s="32"/>
      <c r="H100" s="67" t="s">
        <v>3</v>
      </c>
      <c r="I100" s="60" t="s">
        <v>9</v>
      </c>
      <c r="J100" s="95"/>
      <c r="K100" s="96"/>
      <c r="L100" s="60" t="s">
        <v>10</v>
      </c>
      <c r="M100" s="95"/>
      <c r="N100" s="96"/>
      <c r="R100" s="91"/>
      <c r="S100" s="93"/>
      <c r="T100" s="93"/>
      <c r="U100" s="93"/>
      <c r="V100" s="93"/>
      <c r="W100" s="91"/>
      <c r="X100" s="24"/>
      <c r="Y100" s="91"/>
      <c r="Z100" s="93"/>
      <c r="AA100" s="93"/>
      <c r="AB100" s="93"/>
      <c r="AC100" s="93"/>
      <c r="AD100" s="93"/>
      <c r="AE100" s="43"/>
    </row>
    <row r="101" ht="15.75" customHeight="1">
      <c r="A101" s="60" t="s">
        <v>1</v>
      </c>
      <c r="B101" s="5"/>
      <c r="C101" s="5"/>
      <c r="D101" s="5"/>
      <c r="E101" s="5"/>
      <c r="F101" s="5"/>
      <c r="H101" s="66">
        <f>SUM(B102,N88)</f>
        <v>0</v>
      </c>
      <c r="I101" s="62">
        <f>COUNT(F59:F100,I59:M87)</f>
        <v>0</v>
      </c>
      <c r="J101" s="97"/>
      <c r="K101" s="98"/>
      <c r="L101" s="62">
        <f>SUM(F59:F100)+COUNT(I59:M87)</f>
        <v>0</v>
      </c>
      <c r="M101" s="97"/>
      <c r="N101" s="98"/>
      <c r="R101" s="91"/>
      <c r="S101" s="93"/>
      <c r="T101" s="93"/>
      <c r="U101" s="93"/>
      <c r="V101" s="93"/>
      <c r="W101" s="91"/>
      <c r="X101" s="24"/>
      <c r="Y101" s="54"/>
      <c r="Z101" s="55"/>
      <c r="AA101" s="6"/>
      <c r="AB101" s="24"/>
      <c r="AC101" s="56"/>
      <c r="AD101" s="5"/>
      <c r="AE101" s="54"/>
    </row>
    <row r="102" ht="15.75" customHeight="1">
      <c r="A102" s="60"/>
      <c r="B102" s="67">
        <f>SUM(B59:B100)</f>
        <v>0</v>
      </c>
      <c r="C102" s="68" t="s">
        <v>11</v>
      </c>
      <c r="D102" s="68"/>
      <c r="E102" s="68"/>
      <c r="F102" s="67">
        <f>SUM(F59:F100)</f>
        <v>0</v>
      </c>
      <c r="H102" s="99"/>
      <c r="I102" s="100"/>
      <c r="J102" s="101"/>
      <c r="K102" s="102"/>
      <c r="L102" s="100"/>
      <c r="M102" s="101"/>
      <c r="N102" s="102"/>
      <c r="R102" s="91"/>
      <c r="S102" s="93"/>
      <c r="T102" s="93"/>
      <c r="U102" s="93"/>
      <c r="V102" s="93"/>
      <c r="W102" s="91"/>
      <c r="X102" s="24"/>
      <c r="Y102" s="24"/>
      <c r="Z102" s="24"/>
      <c r="AA102" s="24"/>
      <c r="AB102" s="24"/>
      <c r="AC102" s="24"/>
      <c r="AD102" s="24"/>
      <c r="AE102" s="24"/>
    </row>
    <row r="103" ht="15.75" customHeight="1">
      <c r="R103" s="91"/>
      <c r="S103" s="93"/>
      <c r="T103" s="93"/>
      <c r="U103" s="93"/>
      <c r="V103" s="93"/>
      <c r="W103" s="91"/>
      <c r="X103" s="24"/>
      <c r="Y103" s="24"/>
      <c r="Z103" s="24"/>
      <c r="AA103" s="24"/>
      <c r="AB103" s="24"/>
      <c r="AC103" s="24"/>
      <c r="AD103" s="24"/>
      <c r="AE103" s="24"/>
    </row>
    <row r="104" ht="15.75" customHeight="1">
      <c r="A104" s="93"/>
      <c r="B104" s="93"/>
      <c r="C104" s="93"/>
      <c r="D104" s="93"/>
      <c r="E104" s="93"/>
      <c r="F104" s="93"/>
      <c r="R104" s="91"/>
      <c r="S104" s="93"/>
      <c r="T104" s="93"/>
      <c r="U104" s="93"/>
      <c r="V104" s="93"/>
      <c r="W104" s="91"/>
      <c r="X104" s="24"/>
      <c r="Y104" s="24"/>
      <c r="Z104" s="24"/>
      <c r="AA104" s="24"/>
      <c r="AB104" s="24"/>
      <c r="AC104" s="24"/>
      <c r="AD104" s="24"/>
      <c r="AE104" s="24"/>
    </row>
    <row r="105" ht="15.75" customHeight="1">
      <c r="A105" s="43"/>
      <c r="B105" s="43"/>
      <c r="C105" s="43"/>
      <c r="D105" s="103"/>
      <c r="E105" s="103"/>
      <c r="F105" s="103"/>
      <c r="R105" s="91"/>
      <c r="S105" s="93"/>
      <c r="T105" s="93"/>
      <c r="U105" s="93"/>
      <c r="V105" s="93"/>
      <c r="W105" s="91"/>
      <c r="X105" s="24"/>
      <c r="Y105" s="24"/>
      <c r="Z105" s="24"/>
      <c r="AA105" s="24"/>
      <c r="AB105" s="24"/>
      <c r="AC105" s="24"/>
      <c r="AD105" s="24"/>
      <c r="AE105" s="24"/>
    </row>
    <row r="106" ht="15.75" customHeight="1">
      <c r="A106" s="104"/>
      <c r="B106" s="104"/>
      <c r="C106" s="104"/>
      <c r="D106" s="104"/>
      <c r="E106" s="104"/>
      <c r="F106" s="104"/>
      <c r="R106" s="91"/>
      <c r="S106" s="93"/>
      <c r="T106" s="93"/>
      <c r="U106" s="93"/>
      <c r="V106" s="93"/>
      <c r="W106" s="91"/>
      <c r="X106" s="24"/>
      <c r="Y106" s="24"/>
      <c r="Z106" s="24"/>
      <c r="AA106" s="24"/>
      <c r="AB106" s="24"/>
      <c r="AC106" s="24"/>
      <c r="AD106" s="24"/>
      <c r="AE106" s="24"/>
    </row>
    <row r="107" ht="15.75" customHeight="1">
      <c r="A107" s="91"/>
      <c r="B107" s="93"/>
      <c r="C107" s="93"/>
      <c r="D107" s="93"/>
      <c r="E107" s="93"/>
      <c r="F107" s="93"/>
      <c r="R107" s="91"/>
      <c r="S107" s="93"/>
      <c r="T107" s="93"/>
      <c r="U107" s="93"/>
      <c r="V107" s="93"/>
      <c r="W107" s="93"/>
      <c r="X107" s="24"/>
      <c r="Y107" s="24"/>
      <c r="Z107" s="24"/>
      <c r="AA107" s="24"/>
      <c r="AB107" s="24"/>
      <c r="AC107" s="24"/>
      <c r="AD107" s="24"/>
      <c r="AE107" s="24"/>
    </row>
    <row r="108" ht="15.75" customHeight="1">
      <c r="A108" s="91"/>
      <c r="B108" s="93"/>
      <c r="C108" s="93"/>
      <c r="D108" s="93"/>
      <c r="E108" s="93"/>
      <c r="F108" s="93"/>
      <c r="R108" s="91"/>
      <c r="S108" s="93"/>
      <c r="T108" s="93"/>
      <c r="U108" s="93"/>
      <c r="V108" s="93"/>
      <c r="W108" s="93"/>
      <c r="X108" s="24"/>
      <c r="Y108" s="24"/>
      <c r="Z108" s="24"/>
      <c r="AA108" s="24"/>
      <c r="AB108" s="24"/>
      <c r="AC108" s="24"/>
      <c r="AD108" s="24"/>
      <c r="AE108" s="24"/>
    </row>
    <row r="109" ht="15.75" customHeight="1">
      <c r="A109" s="91"/>
      <c r="B109" s="93"/>
      <c r="C109" s="93"/>
      <c r="D109" s="93"/>
      <c r="E109" s="93"/>
      <c r="F109" s="93"/>
      <c r="H109" s="93"/>
      <c r="I109" s="93"/>
      <c r="J109" s="93"/>
      <c r="K109" s="93"/>
      <c r="L109" s="93"/>
      <c r="M109" s="93"/>
      <c r="N109" s="93"/>
      <c r="R109" s="91"/>
      <c r="S109" s="93"/>
      <c r="T109" s="93"/>
      <c r="U109" s="93"/>
      <c r="V109" s="93"/>
      <c r="W109" s="93"/>
      <c r="X109" s="24"/>
      <c r="Y109" s="24"/>
      <c r="Z109" s="24"/>
      <c r="AA109" s="24"/>
      <c r="AB109" s="24"/>
      <c r="AC109" s="24"/>
      <c r="AD109" s="24"/>
      <c r="AE109" s="24"/>
    </row>
    <row r="110" ht="15.75" customHeight="1">
      <c r="A110" s="91"/>
      <c r="B110" s="93"/>
      <c r="C110" s="93"/>
      <c r="D110" s="93"/>
      <c r="E110" s="93"/>
      <c r="F110" s="93"/>
      <c r="H110" s="93"/>
      <c r="I110" s="93"/>
      <c r="J110" s="93"/>
      <c r="K110" s="93"/>
      <c r="L110" s="93"/>
      <c r="M110" s="93"/>
      <c r="N110" s="93"/>
      <c r="R110" s="91"/>
      <c r="S110" s="93"/>
      <c r="T110" s="93"/>
      <c r="U110" s="93"/>
      <c r="V110" s="93"/>
      <c r="W110" s="93"/>
      <c r="X110" s="24"/>
      <c r="Y110" s="24"/>
      <c r="Z110" s="24"/>
      <c r="AA110" s="24"/>
      <c r="AB110" s="24"/>
      <c r="AC110" s="24"/>
      <c r="AD110" s="24"/>
      <c r="AE110" s="24"/>
    </row>
    <row r="111" ht="15.75" customHeight="1">
      <c r="A111" s="91"/>
      <c r="B111" s="93"/>
      <c r="C111" s="93"/>
      <c r="D111" s="93"/>
      <c r="E111" s="93"/>
      <c r="F111" s="93"/>
      <c r="H111" s="43"/>
      <c r="I111" s="43"/>
      <c r="J111" s="105"/>
      <c r="K111" s="106"/>
      <c r="L111" s="106"/>
      <c r="M111" s="106"/>
      <c r="N111" s="107"/>
      <c r="R111" s="91"/>
      <c r="S111" s="93"/>
      <c r="T111" s="93"/>
      <c r="U111" s="93"/>
      <c r="V111" s="93"/>
      <c r="W111" s="93"/>
      <c r="X111" s="24"/>
      <c r="Y111" s="24"/>
      <c r="Z111" s="24"/>
      <c r="AA111" s="24"/>
      <c r="AB111" s="24"/>
      <c r="AC111" s="24"/>
      <c r="AD111" s="24"/>
      <c r="AE111" s="24"/>
    </row>
    <row r="112" ht="15.75" customHeight="1">
      <c r="A112" s="91"/>
      <c r="B112" s="93"/>
      <c r="C112" s="93"/>
      <c r="D112" s="93"/>
      <c r="E112" s="93"/>
      <c r="F112" s="93"/>
      <c r="H112" s="104"/>
      <c r="I112" s="93"/>
      <c r="J112" s="93"/>
      <c r="K112" s="93"/>
      <c r="L112" s="93"/>
      <c r="M112" s="93"/>
      <c r="N112" s="43"/>
      <c r="R112" s="91"/>
      <c r="S112" s="93"/>
      <c r="T112" s="93"/>
      <c r="U112" s="93"/>
      <c r="V112" s="93"/>
      <c r="W112" s="93"/>
      <c r="X112" s="24"/>
      <c r="Y112" s="24"/>
      <c r="Z112" s="24"/>
      <c r="AA112" s="24"/>
      <c r="AB112" s="24"/>
      <c r="AC112" s="24"/>
      <c r="AD112" s="24"/>
      <c r="AE112" s="24"/>
    </row>
    <row r="113" ht="15.75" customHeight="1">
      <c r="A113" s="91"/>
      <c r="B113" s="93"/>
      <c r="C113" s="93"/>
      <c r="D113" s="93"/>
      <c r="E113" s="93"/>
      <c r="F113" s="93"/>
      <c r="H113" s="91"/>
      <c r="I113" s="93"/>
      <c r="J113" s="93"/>
      <c r="K113" s="93"/>
      <c r="L113" s="93"/>
      <c r="M113" s="93"/>
      <c r="N113" s="43"/>
      <c r="R113" s="91"/>
      <c r="S113" s="93"/>
      <c r="T113" s="93"/>
      <c r="U113" s="93"/>
      <c r="V113" s="93"/>
      <c r="W113" s="93"/>
      <c r="X113" s="24"/>
      <c r="Y113" s="24"/>
      <c r="Z113" s="24"/>
      <c r="AA113" s="24"/>
      <c r="AB113" s="24"/>
      <c r="AC113" s="24"/>
      <c r="AD113" s="24"/>
      <c r="AE113" s="24"/>
    </row>
    <row r="114" ht="15.75" customHeight="1">
      <c r="A114" s="91"/>
      <c r="B114" s="93"/>
      <c r="C114" s="93"/>
      <c r="D114" s="93"/>
      <c r="E114" s="93"/>
      <c r="F114" s="93"/>
      <c r="H114" s="91"/>
      <c r="I114" s="93"/>
      <c r="J114" s="93"/>
      <c r="K114" s="93"/>
      <c r="L114" s="93"/>
      <c r="M114" s="93"/>
      <c r="N114" s="43"/>
      <c r="R114" s="91"/>
      <c r="S114" s="93"/>
      <c r="T114" s="93"/>
      <c r="U114" s="93"/>
      <c r="V114" s="93"/>
      <c r="W114" s="93"/>
      <c r="X114" s="24"/>
      <c r="Y114" s="24"/>
      <c r="Z114" s="24"/>
      <c r="AA114" s="24"/>
      <c r="AB114" s="24"/>
      <c r="AC114" s="24"/>
      <c r="AD114" s="24"/>
      <c r="AE114" s="24"/>
    </row>
    <row r="115" ht="15.75" customHeight="1">
      <c r="A115" s="91"/>
      <c r="B115" s="93"/>
      <c r="C115" s="93"/>
      <c r="D115" s="93"/>
      <c r="E115" s="93"/>
      <c r="F115" s="93"/>
      <c r="H115" s="91"/>
      <c r="I115" s="93"/>
      <c r="J115" s="93"/>
      <c r="K115" s="93"/>
      <c r="L115" s="93"/>
      <c r="M115" s="93"/>
      <c r="N115" s="43"/>
      <c r="R115" s="91"/>
      <c r="S115" s="93"/>
      <c r="T115" s="93"/>
      <c r="U115" s="93"/>
      <c r="V115" s="93"/>
      <c r="W115" s="93"/>
      <c r="X115" s="24"/>
      <c r="Y115" s="70"/>
      <c r="Z115" s="12"/>
      <c r="AA115" s="12"/>
      <c r="AB115" s="12"/>
      <c r="AC115" s="12"/>
      <c r="AD115" s="12"/>
      <c r="AE115" s="13"/>
    </row>
    <row r="116" ht="15.75" customHeight="1">
      <c r="A116" s="91"/>
      <c r="B116" s="93"/>
      <c r="C116" s="93"/>
      <c r="D116" s="93"/>
      <c r="E116" s="93"/>
      <c r="F116" s="93"/>
      <c r="H116" s="91"/>
      <c r="I116" s="93"/>
      <c r="J116" s="93"/>
      <c r="K116" s="93"/>
      <c r="L116" s="93"/>
      <c r="M116" s="93"/>
      <c r="N116" s="43"/>
      <c r="R116" s="91"/>
      <c r="S116" s="93"/>
      <c r="T116" s="93"/>
      <c r="U116" s="93"/>
      <c r="V116" s="93"/>
      <c r="W116" s="93"/>
      <c r="X116" s="24"/>
      <c r="Y116" s="63"/>
      <c r="Z116" s="64"/>
      <c r="AA116" s="64"/>
      <c r="AB116" s="64"/>
      <c r="AC116" s="64"/>
      <c r="AD116" s="64"/>
      <c r="AE116" s="65"/>
    </row>
    <row r="117" ht="15.75" customHeight="1">
      <c r="A117" s="91"/>
      <c r="B117" s="93"/>
      <c r="C117" s="93"/>
      <c r="D117" s="93"/>
      <c r="E117" s="93"/>
      <c r="F117" s="93"/>
      <c r="H117" s="91"/>
      <c r="I117" s="93"/>
      <c r="J117" s="93"/>
      <c r="K117" s="93"/>
      <c r="L117" s="93"/>
      <c r="M117" s="93"/>
      <c r="N117" s="43"/>
      <c r="R117" s="91"/>
      <c r="S117" s="93"/>
      <c r="T117" s="93"/>
      <c r="U117" s="93"/>
      <c r="V117" s="93"/>
      <c r="W117" s="93"/>
      <c r="X117" s="24"/>
      <c r="Y117" s="24"/>
      <c r="Z117" s="24"/>
      <c r="AA117" s="24"/>
      <c r="AB117" s="24"/>
      <c r="AC117" s="24"/>
      <c r="AD117" s="24"/>
      <c r="AE117" s="24"/>
    </row>
    <row r="118" ht="15.75" customHeight="1">
      <c r="A118" s="91"/>
      <c r="B118" s="93"/>
      <c r="C118" s="93"/>
      <c r="D118" s="93"/>
      <c r="E118" s="93"/>
      <c r="F118" s="93"/>
      <c r="H118" s="91"/>
      <c r="I118" s="93"/>
      <c r="J118" s="93"/>
      <c r="K118" s="93"/>
      <c r="L118" s="93"/>
      <c r="M118" s="93"/>
      <c r="N118" s="43"/>
      <c r="R118" s="108"/>
      <c r="S118" s="109"/>
      <c r="T118" s="109"/>
      <c r="U118" s="109"/>
      <c r="V118" s="109"/>
      <c r="W118" s="109"/>
      <c r="X118" s="24"/>
      <c r="Y118" s="54"/>
      <c r="Z118" s="56"/>
      <c r="AA118" s="5"/>
      <c r="AB118" s="6"/>
      <c r="AC118" s="56"/>
      <c r="AD118" s="5"/>
      <c r="AE118" s="6"/>
    </row>
    <row r="119" ht="15.75" customHeight="1">
      <c r="A119" s="91"/>
      <c r="B119" s="93"/>
      <c r="C119" s="93"/>
      <c r="D119" s="93"/>
      <c r="E119" s="93"/>
      <c r="F119" s="93"/>
      <c r="H119" s="91"/>
      <c r="I119" s="93"/>
      <c r="J119" s="93"/>
      <c r="K119" s="93"/>
      <c r="L119" s="93"/>
      <c r="M119" s="93"/>
      <c r="N119" s="43"/>
      <c r="R119" s="56"/>
      <c r="S119" s="5"/>
      <c r="T119" s="5"/>
      <c r="U119" s="5"/>
      <c r="V119" s="5"/>
      <c r="W119" s="5"/>
      <c r="X119" s="24"/>
      <c r="Y119" s="82"/>
      <c r="Z119" s="70"/>
      <c r="AA119" s="12"/>
      <c r="AB119" s="13"/>
      <c r="AC119" s="70"/>
      <c r="AD119" s="12"/>
      <c r="AE119" s="13"/>
    </row>
    <row r="120" ht="15.75" customHeight="1">
      <c r="A120" s="91"/>
      <c r="B120" s="93"/>
      <c r="C120" s="93"/>
      <c r="D120" s="93"/>
      <c r="E120" s="93"/>
      <c r="F120" s="93"/>
      <c r="H120" s="91"/>
      <c r="I120" s="93"/>
      <c r="J120" s="93"/>
      <c r="K120" s="93"/>
      <c r="L120" s="93"/>
      <c r="M120" s="93"/>
      <c r="N120" s="43"/>
      <c r="R120" s="83"/>
      <c r="S120" s="84"/>
      <c r="T120" s="85"/>
      <c r="U120" s="85"/>
      <c r="V120" s="85"/>
      <c r="W120" s="84"/>
      <c r="X120" s="24"/>
      <c r="Y120" s="69"/>
      <c r="Z120" s="63"/>
      <c r="AA120" s="64"/>
      <c r="AB120" s="65"/>
      <c r="AC120" s="63"/>
      <c r="AD120" s="64"/>
      <c r="AE120" s="65"/>
    </row>
    <row r="121" ht="15.75" customHeight="1">
      <c r="A121" s="91"/>
      <c r="B121" s="93"/>
      <c r="C121" s="93"/>
      <c r="D121" s="93"/>
      <c r="E121" s="93"/>
      <c r="F121" s="93"/>
      <c r="H121" s="91"/>
      <c r="I121" s="93"/>
      <c r="J121" s="93"/>
      <c r="K121" s="93"/>
      <c r="L121" s="93"/>
      <c r="M121" s="93"/>
      <c r="N121" s="43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</row>
    <row r="122" ht="15.75" customHeight="1">
      <c r="A122" s="91"/>
      <c r="B122" s="93"/>
      <c r="C122" s="93"/>
      <c r="D122" s="93"/>
      <c r="E122" s="93"/>
      <c r="F122" s="93"/>
      <c r="G122" s="93"/>
      <c r="H122" s="91"/>
      <c r="I122" s="93"/>
      <c r="J122" s="93"/>
      <c r="K122" s="93"/>
      <c r="L122" s="93"/>
      <c r="M122" s="93"/>
      <c r="N122" s="43"/>
      <c r="O122" s="93"/>
      <c r="P122" s="93"/>
      <c r="Q122" s="110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</row>
    <row r="123" ht="15.75" customHeight="1">
      <c r="A123" s="91"/>
      <c r="B123" s="93"/>
      <c r="C123" s="93"/>
      <c r="D123" s="93"/>
      <c r="E123" s="93"/>
      <c r="F123" s="93"/>
      <c r="G123" s="43"/>
      <c r="H123" s="91"/>
      <c r="I123" s="93"/>
      <c r="J123" s="93"/>
      <c r="K123" s="93"/>
      <c r="L123" s="93"/>
      <c r="M123" s="93"/>
      <c r="N123" s="43"/>
      <c r="O123" s="93"/>
      <c r="P123" s="93"/>
      <c r="Q123" s="110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</row>
    <row r="124" ht="15.75" customHeight="1">
      <c r="A124" s="91"/>
      <c r="B124" s="93"/>
      <c r="C124" s="93"/>
      <c r="D124" s="93"/>
      <c r="E124" s="93"/>
      <c r="F124" s="93"/>
      <c r="G124" s="93"/>
      <c r="H124" s="91"/>
      <c r="I124" s="93"/>
      <c r="J124" s="93"/>
      <c r="K124" s="93"/>
      <c r="L124" s="93"/>
      <c r="M124" s="93"/>
      <c r="N124" s="43"/>
      <c r="O124" s="93"/>
      <c r="P124" s="93"/>
      <c r="Q124" s="110"/>
      <c r="R124" s="43"/>
      <c r="S124" s="43"/>
      <c r="T124" s="43"/>
      <c r="U124" s="103"/>
      <c r="V124" s="103"/>
      <c r="W124" s="103"/>
      <c r="X124" s="43"/>
      <c r="Y124" s="43"/>
      <c r="Z124" s="43"/>
      <c r="AA124" s="105"/>
      <c r="AB124" s="106"/>
      <c r="AC124" s="106"/>
      <c r="AD124" s="106"/>
      <c r="AE124" s="107"/>
    </row>
    <row r="125" ht="15.75" customHeight="1">
      <c r="A125" s="91"/>
      <c r="B125" s="93"/>
      <c r="C125" s="93"/>
      <c r="D125" s="93"/>
      <c r="E125" s="93"/>
      <c r="F125" s="93"/>
      <c r="G125" s="93"/>
      <c r="H125" s="91"/>
      <c r="I125" s="93"/>
      <c r="J125" s="93"/>
      <c r="K125" s="93"/>
      <c r="L125" s="93"/>
      <c r="M125" s="93"/>
      <c r="N125" s="43"/>
      <c r="O125" s="93"/>
      <c r="P125" s="93"/>
      <c r="Q125" s="110"/>
      <c r="R125" s="104"/>
      <c r="S125" s="104"/>
      <c r="T125" s="104"/>
      <c r="U125" s="104"/>
      <c r="V125" s="104"/>
      <c r="W125" s="104"/>
      <c r="X125" s="93"/>
      <c r="Y125" s="104"/>
      <c r="Z125" s="93"/>
      <c r="AA125" s="93"/>
      <c r="AB125" s="93"/>
      <c r="AC125" s="93"/>
      <c r="AD125" s="93"/>
      <c r="AE125" s="43"/>
    </row>
    <row r="126" ht="15.75" customHeight="1">
      <c r="A126" s="91"/>
      <c r="B126" s="93"/>
      <c r="C126" s="93"/>
      <c r="D126" s="93"/>
      <c r="E126" s="93"/>
      <c r="F126" s="93"/>
      <c r="G126" s="93"/>
      <c r="H126" s="91"/>
      <c r="I126" s="93"/>
      <c r="J126" s="93"/>
      <c r="K126" s="93"/>
      <c r="L126" s="93"/>
      <c r="M126" s="93"/>
      <c r="N126" s="43"/>
      <c r="O126" s="93"/>
      <c r="P126" s="93"/>
      <c r="Q126" s="110"/>
      <c r="R126" s="91"/>
      <c r="S126" s="93"/>
      <c r="T126" s="93"/>
      <c r="U126" s="93"/>
      <c r="V126" s="93"/>
      <c r="W126" s="93"/>
      <c r="X126" s="93"/>
      <c r="Y126" s="91"/>
      <c r="Z126" s="93"/>
      <c r="AA126" s="93"/>
      <c r="AB126" s="93"/>
      <c r="AC126" s="93"/>
      <c r="AD126" s="93"/>
      <c r="AE126" s="43"/>
    </row>
    <row r="127" ht="15.75" customHeight="1">
      <c r="A127" s="91"/>
      <c r="B127" s="93"/>
      <c r="C127" s="93"/>
      <c r="D127" s="93"/>
      <c r="E127" s="93"/>
      <c r="F127" s="93"/>
      <c r="G127" s="93"/>
      <c r="H127" s="91"/>
      <c r="I127" s="93"/>
      <c r="J127" s="93"/>
      <c r="K127" s="93"/>
      <c r="L127" s="93"/>
      <c r="M127" s="93"/>
      <c r="N127" s="43"/>
      <c r="O127" s="93"/>
      <c r="P127" s="93"/>
      <c r="Q127" s="110"/>
      <c r="R127" s="91"/>
      <c r="S127" s="93"/>
      <c r="T127" s="93"/>
      <c r="U127" s="93"/>
      <c r="V127" s="93"/>
      <c r="W127" s="93"/>
      <c r="X127" s="93"/>
      <c r="Y127" s="91"/>
      <c r="Z127" s="93"/>
      <c r="AA127" s="93"/>
      <c r="AB127" s="93"/>
      <c r="AC127" s="93"/>
      <c r="AD127" s="93"/>
      <c r="AE127" s="43"/>
    </row>
    <row r="128" ht="15.75" customHeight="1">
      <c r="A128" s="91"/>
      <c r="B128" s="93"/>
      <c r="C128" s="93"/>
      <c r="D128" s="93"/>
      <c r="E128" s="93"/>
      <c r="F128" s="93"/>
      <c r="G128" s="93"/>
      <c r="H128" s="91"/>
      <c r="I128" s="93"/>
      <c r="J128" s="93"/>
      <c r="K128" s="93"/>
      <c r="L128" s="93"/>
      <c r="M128" s="93"/>
      <c r="N128" s="43"/>
      <c r="O128" s="93"/>
      <c r="P128" s="93"/>
      <c r="Q128" s="110"/>
      <c r="R128" s="91"/>
      <c r="S128" s="93"/>
      <c r="T128" s="93"/>
      <c r="U128" s="93"/>
      <c r="V128" s="93"/>
      <c r="W128" s="93"/>
      <c r="X128" s="93"/>
      <c r="Y128" s="91"/>
      <c r="Z128" s="93"/>
      <c r="AA128" s="93"/>
      <c r="AB128" s="93"/>
      <c r="AC128" s="93"/>
      <c r="AD128" s="93"/>
      <c r="AE128" s="43"/>
    </row>
    <row r="129" ht="15.75" customHeight="1">
      <c r="A129" s="91"/>
      <c r="B129" s="93"/>
      <c r="C129" s="93"/>
      <c r="D129" s="93"/>
      <c r="E129" s="93"/>
      <c r="F129" s="93"/>
      <c r="G129" s="93"/>
      <c r="H129" s="91"/>
      <c r="I129" s="93"/>
      <c r="J129" s="93"/>
      <c r="K129" s="93"/>
      <c r="L129" s="93"/>
      <c r="M129" s="93"/>
      <c r="N129" s="43"/>
      <c r="O129" s="93"/>
      <c r="P129" s="93"/>
      <c r="Q129" s="110"/>
      <c r="R129" s="91"/>
      <c r="S129" s="93"/>
      <c r="T129" s="93"/>
      <c r="U129" s="93"/>
      <c r="V129" s="93"/>
      <c r="W129" s="93"/>
      <c r="X129" s="93"/>
      <c r="Y129" s="91"/>
      <c r="Z129" s="93"/>
      <c r="AA129" s="93"/>
      <c r="AB129" s="93"/>
      <c r="AC129" s="93"/>
      <c r="AD129" s="93"/>
      <c r="AE129" s="43"/>
    </row>
    <row r="130" ht="15.75" customHeight="1">
      <c r="A130" s="91"/>
      <c r="B130" s="93"/>
      <c r="C130" s="93"/>
      <c r="D130" s="93"/>
      <c r="E130" s="93"/>
      <c r="F130" s="93"/>
      <c r="G130" s="93"/>
      <c r="H130" s="91"/>
      <c r="I130" s="93"/>
      <c r="J130" s="93"/>
      <c r="K130" s="93"/>
      <c r="L130" s="93"/>
      <c r="M130" s="93"/>
      <c r="N130" s="43"/>
      <c r="O130" s="93"/>
      <c r="P130" s="93"/>
      <c r="Q130" s="110"/>
      <c r="R130" s="91"/>
      <c r="S130" s="93"/>
      <c r="T130" s="93"/>
      <c r="U130" s="93"/>
      <c r="V130" s="93"/>
      <c r="W130" s="93"/>
      <c r="X130" s="93"/>
      <c r="Y130" s="91"/>
      <c r="Z130" s="93"/>
      <c r="AA130" s="93"/>
      <c r="AB130" s="93"/>
      <c r="AC130" s="93"/>
      <c r="AD130" s="93"/>
      <c r="AE130" s="43"/>
    </row>
    <row r="131" ht="15.75" customHeight="1">
      <c r="A131" s="91"/>
      <c r="B131" s="93"/>
      <c r="C131" s="93"/>
      <c r="D131" s="93"/>
      <c r="E131" s="93"/>
      <c r="F131" s="93"/>
      <c r="G131" s="93"/>
      <c r="H131" s="91"/>
      <c r="I131" s="93"/>
      <c r="J131" s="93"/>
      <c r="K131" s="93"/>
      <c r="L131" s="93"/>
      <c r="M131" s="93"/>
      <c r="N131" s="43"/>
      <c r="O131" s="93"/>
      <c r="P131" s="93"/>
      <c r="Q131" s="110"/>
      <c r="R131" s="91"/>
      <c r="S131" s="93"/>
      <c r="T131" s="93"/>
      <c r="U131" s="93"/>
      <c r="V131" s="93"/>
      <c r="W131" s="93"/>
      <c r="X131" s="93"/>
      <c r="Y131" s="91"/>
      <c r="Z131" s="93"/>
      <c r="AA131" s="93"/>
      <c r="AB131" s="93"/>
      <c r="AC131" s="93"/>
      <c r="AD131" s="93"/>
      <c r="AE131" s="43"/>
    </row>
    <row r="132" ht="15.75" customHeight="1">
      <c r="A132" s="91"/>
      <c r="B132" s="93"/>
      <c r="C132" s="93"/>
      <c r="D132" s="93"/>
      <c r="E132" s="93"/>
      <c r="F132" s="93"/>
      <c r="G132" s="93"/>
      <c r="H132" s="91"/>
      <c r="I132" s="93"/>
      <c r="J132" s="93"/>
      <c r="K132" s="93"/>
      <c r="L132" s="93"/>
      <c r="M132" s="93"/>
      <c r="N132" s="43"/>
      <c r="O132" s="93"/>
      <c r="P132" s="93"/>
      <c r="Q132" s="110"/>
      <c r="R132" s="91"/>
      <c r="S132" s="93"/>
      <c r="T132" s="93"/>
      <c r="U132" s="93"/>
      <c r="V132" s="93"/>
      <c r="W132" s="93"/>
      <c r="X132" s="93"/>
      <c r="Y132" s="91"/>
      <c r="Z132" s="93"/>
      <c r="AA132" s="93"/>
      <c r="AB132" s="93"/>
      <c r="AC132" s="93"/>
      <c r="AD132" s="93"/>
      <c r="AE132" s="43"/>
    </row>
    <row r="133" ht="15.75" customHeight="1">
      <c r="A133" s="91"/>
      <c r="B133" s="93"/>
      <c r="C133" s="93"/>
      <c r="D133" s="93"/>
      <c r="E133" s="93"/>
      <c r="F133" s="93"/>
      <c r="G133" s="93"/>
      <c r="H133" s="91"/>
      <c r="I133" s="93"/>
      <c r="J133" s="93"/>
      <c r="K133" s="93"/>
      <c r="L133" s="93"/>
      <c r="M133" s="93"/>
      <c r="N133" s="43"/>
      <c r="O133" s="93"/>
      <c r="P133" s="93"/>
      <c r="Q133" s="110"/>
      <c r="R133" s="91"/>
      <c r="S133" s="93"/>
      <c r="T133" s="93"/>
      <c r="U133" s="93"/>
      <c r="V133" s="93"/>
      <c r="W133" s="93"/>
      <c r="X133" s="93"/>
      <c r="Y133" s="91"/>
      <c r="Z133" s="93"/>
      <c r="AA133" s="93"/>
      <c r="AB133" s="93"/>
      <c r="AC133" s="93"/>
      <c r="AD133" s="93"/>
      <c r="AE133" s="43"/>
    </row>
    <row r="134" ht="15.75" customHeight="1">
      <c r="A134" s="91"/>
      <c r="B134" s="93"/>
      <c r="C134" s="93"/>
      <c r="D134" s="93"/>
      <c r="E134" s="93"/>
      <c r="F134" s="93"/>
      <c r="G134" s="93"/>
      <c r="H134" s="91"/>
      <c r="I134" s="93"/>
      <c r="J134" s="93"/>
      <c r="K134" s="93"/>
      <c r="L134" s="93"/>
      <c r="M134" s="93"/>
      <c r="N134" s="43"/>
      <c r="O134" s="93"/>
      <c r="P134" s="93"/>
      <c r="Q134" s="110"/>
      <c r="R134" s="91"/>
      <c r="S134" s="93"/>
      <c r="T134" s="93"/>
      <c r="U134" s="93"/>
      <c r="V134" s="93"/>
      <c r="W134" s="93"/>
      <c r="X134" s="93"/>
      <c r="Y134" s="91"/>
      <c r="Z134" s="93"/>
      <c r="AA134" s="93"/>
      <c r="AB134" s="93"/>
      <c r="AC134" s="93"/>
      <c r="AD134" s="93"/>
      <c r="AE134" s="43"/>
    </row>
    <row r="135" ht="15.75" customHeight="1">
      <c r="A135" s="91"/>
      <c r="B135" s="93"/>
      <c r="C135" s="93"/>
      <c r="D135" s="93"/>
      <c r="E135" s="93"/>
      <c r="F135" s="93"/>
      <c r="G135" s="93"/>
      <c r="H135" s="91"/>
      <c r="I135" s="93"/>
      <c r="J135" s="93"/>
      <c r="K135" s="93"/>
      <c r="L135" s="93"/>
      <c r="M135" s="93"/>
      <c r="N135" s="43"/>
      <c r="O135" s="93"/>
      <c r="P135" s="93"/>
      <c r="Q135" s="110"/>
      <c r="R135" s="91"/>
      <c r="S135" s="93"/>
      <c r="T135" s="93"/>
      <c r="U135" s="93"/>
      <c r="V135" s="93"/>
      <c r="W135" s="93"/>
      <c r="X135" s="93"/>
      <c r="Y135" s="91"/>
      <c r="Z135" s="93"/>
      <c r="AA135" s="93"/>
      <c r="AB135" s="93"/>
      <c r="AC135" s="93"/>
      <c r="AD135" s="93"/>
      <c r="AE135" s="43"/>
    </row>
    <row r="136" ht="15.75" customHeight="1">
      <c r="A136" s="91"/>
      <c r="B136" s="93"/>
      <c r="C136" s="93"/>
      <c r="D136" s="93"/>
      <c r="E136" s="93"/>
      <c r="F136" s="93"/>
      <c r="G136" s="93"/>
      <c r="H136" s="91"/>
      <c r="I136" s="93"/>
      <c r="J136" s="93"/>
      <c r="K136" s="93"/>
      <c r="L136" s="93"/>
      <c r="M136" s="93"/>
      <c r="N136" s="43"/>
      <c r="O136" s="93"/>
      <c r="P136" s="93"/>
      <c r="Q136" s="110"/>
      <c r="R136" s="91"/>
      <c r="S136" s="93"/>
      <c r="T136" s="93"/>
      <c r="U136" s="93"/>
      <c r="V136" s="93"/>
      <c r="W136" s="93"/>
      <c r="X136" s="93"/>
      <c r="Y136" s="91"/>
      <c r="Z136" s="93"/>
      <c r="AA136" s="93"/>
      <c r="AB136" s="93"/>
      <c r="AC136" s="93"/>
      <c r="AD136" s="93"/>
      <c r="AE136" s="43"/>
    </row>
    <row r="137" ht="15.75" customHeight="1">
      <c r="A137" s="91"/>
      <c r="B137" s="93"/>
      <c r="C137" s="93"/>
      <c r="D137" s="93"/>
      <c r="E137" s="93"/>
      <c r="F137" s="93"/>
      <c r="G137" s="93"/>
      <c r="H137" s="91"/>
      <c r="I137" s="93"/>
      <c r="J137" s="93"/>
      <c r="K137" s="93"/>
      <c r="L137" s="93"/>
      <c r="M137" s="93"/>
      <c r="N137" s="43"/>
      <c r="O137" s="93"/>
      <c r="P137" s="93"/>
      <c r="Q137" s="110"/>
      <c r="R137" s="91"/>
      <c r="S137" s="93"/>
      <c r="T137" s="93"/>
      <c r="U137" s="93"/>
      <c r="V137" s="93"/>
      <c r="W137" s="93"/>
      <c r="X137" s="93"/>
      <c r="Y137" s="91"/>
      <c r="Z137" s="93"/>
      <c r="AA137" s="93"/>
      <c r="AB137" s="93"/>
      <c r="AC137" s="93"/>
      <c r="AD137" s="93"/>
      <c r="AE137" s="43"/>
    </row>
    <row r="138" ht="15.75" customHeight="1">
      <c r="A138" s="91"/>
      <c r="B138" s="93"/>
      <c r="C138" s="93"/>
      <c r="D138" s="93"/>
      <c r="E138" s="93"/>
      <c r="F138" s="93"/>
      <c r="G138" s="93"/>
      <c r="H138" s="91"/>
      <c r="I138" s="93"/>
      <c r="J138" s="93"/>
      <c r="K138" s="93"/>
      <c r="L138" s="93"/>
      <c r="M138" s="93"/>
      <c r="N138" s="43"/>
      <c r="O138" s="93"/>
      <c r="P138" s="93"/>
      <c r="Q138" s="110"/>
      <c r="R138" s="91"/>
      <c r="S138" s="93"/>
      <c r="T138" s="93"/>
      <c r="U138" s="93"/>
      <c r="V138" s="93"/>
      <c r="W138" s="93"/>
      <c r="X138" s="93"/>
      <c r="Y138" s="91"/>
      <c r="Z138" s="93"/>
      <c r="AA138" s="93"/>
      <c r="AB138" s="93"/>
      <c r="AC138" s="93"/>
      <c r="AD138" s="93"/>
      <c r="AE138" s="43"/>
    </row>
    <row r="139" ht="15.75" customHeight="1">
      <c r="A139" s="91"/>
      <c r="B139" s="93"/>
      <c r="C139" s="93"/>
      <c r="D139" s="93"/>
      <c r="E139" s="93"/>
      <c r="F139" s="93"/>
      <c r="G139" s="93"/>
      <c r="H139" s="91"/>
      <c r="I139" s="93"/>
      <c r="J139" s="93"/>
      <c r="K139" s="93"/>
      <c r="L139" s="93"/>
      <c r="M139" s="93"/>
      <c r="N139" s="43"/>
      <c r="O139" s="93"/>
      <c r="P139" s="93"/>
      <c r="Q139" s="110"/>
      <c r="R139" s="91"/>
      <c r="S139" s="93"/>
      <c r="T139" s="93"/>
      <c r="U139" s="93"/>
      <c r="V139" s="93"/>
      <c r="W139" s="93"/>
      <c r="X139" s="93"/>
      <c r="Y139" s="91"/>
      <c r="Z139" s="93"/>
      <c r="AA139" s="93"/>
      <c r="AB139" s="93"/>
      <c r="AC139" s="93"/>
      <c r="AD139" s="93"/>
      <c r="AE139" s="43"/>
    </row>
    <row r="140" ht="15.75" customHeight="1">
      <c r="A140" s="91"/>
      <c r="B140" s="93"/>
      <c r="C140" s="93"/>
      <c r="D140" s="93"/>
      <c r="E140" s="93"/>
      <c r="F140" s="93"/>
      <c r="G140" s="93"/>
      <c r="H140" s="91"/>
      <c r="I140" s="93"/>
      <c r="J140" s="93"/>
      <c r="K140" s="93"/>
      <c r="L140" s="93"/>
      <c r="M140" s="93"/>
      <c r="N140" s="43"/>
      <c r="O140" s="93"/>
      <c r="P140" s="93"/>
      <c r="Q140" s="110"/>
      <c r="R140" s="91"/>
      <c r="S140" s="93"/>
      <c r="T140" s="93"/>
      <c r="U140" s="93"/>
      <c r="V140" s="93"/>
      <c r="W140" s="93"/>
      <c r="X140" s="93"/>
      <c r="Y140" s="91"/>
      <c r="Z140" s="93"/>
      <c r="AA140" s="93"/>
      <c r="AB140" s="93"/>
      <c r="AC140" s="93"/>
      <c r="AD140" s="93"/>
      <c r="AE140" s="43"/>
    </row>
    <row r="141" ht="15.75" customHeight="1">
      <c r="A141" s="91"/>
      <c r="B141" s="93"/>
      <c r="C141" s="93"/>
      <c r="D141" s="93"/>
      <c r="E141" s="93"/>
      <c r="F141" s="93"/>
      <c r="G141" s="93"/>
      <c r="H141" s="91"/>
      <c r="I141" s="93"/>
      <c r="J141" s="93"/>
      <c r="K141" s="93"/>
      <c r="L141" s="93"/>
      <c r="M141" s="93"/>
      <c r="N141" s="43"/>
      <c r="O141" s="93"/>
      <c r="P141" s="93"/>
      <c r="Q141" s="110"/>
      <c r="R141" s="91"/>
      <c r="S141" s="93"/>
      <c r="T141" s="93"/>
      <c r="U141" s="93"/>
      <c r="V141" s="93"/>
      <c r="W141" s="93"/>
      <c r="X141" s="93"/>
      <c r="Y141" s="91"/>
      <c r="Z141" s="93"/>
      <c r="AA141" s="93"/>
      <c r="AB141" s="93"/>
      <c r="AC141" s="93"/>
      <c r="AD141" s="93"/>
      <c r="AE141" s="43"/>
    </row>
    <row r="142" ht="15.75" customHeight="1">
      <c r="A142" s="91"/>
      <c r="B142" s="93"/>
      <c r="C142" s="93"/>
      <c r="D142" s="93"/>
      <c r="E142" s="93"/>
      <c r="F142" s="93"/>
      <c r="G142" s="93"/>
      <c r="H142" s="43"/>
      <c r="I142" s="111"/>
      <c r="J142" s="107"/>
      <c r="K142" s="93"/>
      <c r="L142" s="112"/>
      <c r="M142" s="107"/>
      <c r="N142" s="43"/>
      <c r="O142" s="93"/>
      <c r="P142" s="93"/>
      <c r="Q142" s="110"/>
      <c r="R142" s="91"/>
      <c r="S142" s="93"/>
      <c r="T142" s="93"/>
      <c r="U142" s="93"/>
      <c r="V142" s="93"/>
      <c r="W142" s="93"/>
      <c r="X142" s="93"/>
      <c r="Y142" s="91"/>
      <c r="Z142" s="93"/>
      <c r="AA142" s="93"/>
      <c r="AB142" s="93"/>
      <c r="AC142" s="93"/>
      <c r="AD142" s="93"/>
      <c r="AE142" s="43"/>
    </row>
    <row r="143" ht="15.75" customHeight="1">
      <c r="A143" s="91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110"/>
      <c r="R143" s="91"/>
      <c r="S143" s="93"/>
      <c r="T143" s="93"/>
      <c r="U143" s="93"/>
      <c r="V143" s="93"/>
      <c r="W143" s="93"/>
      <c r="X143" s="93"/>
      <c r="Y143" s="91"/>
      <c r="Z143" s="93"/>
      <c r="AA143" s="93"/>
      <c r="AB143" s="93"/>
      <c r="AC143" s="93"/>
      <c r="AD143" s="93"/>
      <c r="AE143" s="43"/>
    </row>
    <row r="144" ht="15.75" customHeight="1">
      <c r="A144" s="91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110"/>
      <c r="R144" s="91"/>
      <c r="S144" s="93"/>
      <c r="T144" s="93"/>
      <c r="U144" s="93"/>
      <c r="V144" s="93"/>
      <c r="W144" s="93"/>
      <c r="X144" s="93"/>
      <c r="Y144" s="91"/>
      <c r="Z144" s="93"/>
      <c r="AA144" s="93"/>
      <c r="AB144" s="93"/>
      <c r="AC144" s="93"/>
      <c r="AD144" s="93"/>
      <c r="AE144" s="43"/>
    </row>
    <row r="145" ht="15.75" customHeight="1">
      <c r="A145" s="91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110"/>
      <c r="R145" s="91"/>
      <c r="S145" s="93"/>
      <c r="T145" s="93"/>
      <c r="U145" s="93"/>
      <c r="V145" s="93"/>
      <c r="W145" s="93"/>
      <c r="X145" s="93"/>
      <c r="Y145" s="91"/>
      <c r="Z145" s="93"/>
      <c r="AA145" s="93"/>
      <c r="AB145" s="93"/>
      <c r="AC145" s="93"/>
      <c r="AD145" s="93"/>
      <c r="AE145" s="43"/>
    </row>
    <row r="146" ht="15.75" customHeight="1">
      <c r="A146" s="91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110"/>
      <c r="R146" s="91"/>
      <c r="S146" s="93"/>
      <c r="T146" s="93"/>
      <c r="U146" s="93"/>
      <c r="V146" s="93"/>
      <c r="W146" s="93"/>
      <c r="X146" s="93"/>
      <c r="Y146" s="91"/>
      <c r="Z146" s="93"/>
      <c r="AA146" s="93"/>
      <c r="AB146" s="93"/>
      <c r="AC146" s="93"/>
      <c r="AD146" s="93"/>
      <c r="AE146" s="43"/>
      <c r="AJ146" s="52"/>
    </row>
    <row r="147" ht="15.75" customHeight="1">
      <c r="A147" s="91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110"/>
      <c r="R147" s="91"/>
      <c r="S147" s="93"/>
      <c r="T147" s="93"/>
      <c r="U147" s="93"/>
      <c r="V147" s="93"/>
      <c r="W147" s="93"/>
      <c r="X147" s="93"/>
      <c r="Y147" s="91"/>
      <c r="Z147" s="93"/>
      <c r="AA147" s="93"/>
      <c r="AB147" s="93"/>
      <c r="AC147" s="93"/>
      <c r="AD147" s="93"/>
      <c r="AE147" s="43"/>
    </row>
    <row r="148" ht="15.75" customHeight="1">
      <c r="A148" s="91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110"/>
      <c r="R148" s="91"/>
      <c r="S148" s="93"/>
      <c r="T148" s="93"/>
      <c r="U148" s="93"/>
      <c r="V148" s="93"/>
      <c r="W148" s="93"/>
      <c r="X148" s="93"/>
      <c r="Y148" s="91"/>
      <c r="Z148" s="93"/>
      <c r="AA148" s="93"/>
      <c r="AB148" s="93"/>
      <c r="AC148" s="93"/>
      <c r="AD148" s="93"/>
      <c r="AE148" s="43"/>
    </row>
    <row r="149" ht="15.75" customHeight="1">
      <c r="A149" s="91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110"/>
      <c r="R149" s="91"/>
      <c r="S149" s="93"/>
      <c r="T149" s="93"/>
      <c r="U149" s="93"/>
      <c r="V149" s="93"/>
      <c r="W149" s="93"/>
      <c r="X149" s="93"/>
      <c r="Y149" s="91"/>
      <c r="Z149" s="93"/>
      <c r="AA149" s="93"/>
      <c r="AB149" s="93"/>
      <c r="AC149" s="93"/>
      <c r="AD149" s="93"/>
      <c r="AE149" s="43"/>
    </row>
    <row r="150" ht="15.75" customHeight="1">
      <c r="A150" s="91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110"/>
      <c r="R150" s="91"/>
      <c r="S150" s="93"/>
      <c r="T150" s="93"/>
      <c r="U150" s="93"/>
      <c r="V150" s="93"/>
      <c r="W150" s="93"/>
      <c r="X150" s="93"/>
      <c r="Y150" s="91"/>
      <c r="Z150" s="93"/>
      <c r="AA150" s="93"/>
      <c r="AB150" s="93"/>
      <c r="AC150" s="93"/>
      <c r="AD150" s="93"/>
      <c r="AE150" s="43"/>
    </row>
    <row r="151" ht="15.75" customHeight="1">
      <c r="A151" s="91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110"/>
      <c r="R151" s="91"/>
      <c r="S151" s="93"/>
      <c r="T151" s="93"/>
      <c r="U151" s="93"/>
      <c r="V151" s="93"/>
      <c r="W151" s="93"/>
      <c r="X151" s="93"/>
      <c r="Y151" s="91"/>
      <c r="Z151" s="93"/>
      <c r="AA151" s="93"/>
      <c r="AB151" s="93"/>
      <c r="AC151" s="93"/>
      <c r="AD151" s="93"/>
      <c r="AE151" s="43"/>
      <c r="AI151" s="52"/>
    </row>
    <row r="152" ht="15.75" customHeight="1">
      <c r="A152" s="91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110"/>
      <c r="R152" s="91"/>
      <c r="S152" s="93"/>
      <c r="T152" s="93"/>
      <c r="U152" s="93"/>
      <c r="V152" s="93"/>
      <c r="W152" s="93"/>
      <c r="X152" s="93"/>
      <c r="Y152" s="91"/>
      <c r="Z152" s="93"/>
      <c r="AA152" s="93"/>
      <c r="AB152" s="93"/>
      <c r="AC152" s="93"/>
      <c r="AD152" s="93"/>
      <c r="AE152" s="43"/>
    </row>
    <row r="153" ht="15.75" customHeight="1">
      <c r="A153" s="91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110"/>
      <c r="R153" s="91"/>
      <c r="S153" s="93"/>
      <c r="T153" s="93"/>
      <c r="U153" s="93"/>
      <c r="V153" s="93"/>
      <c r="W153" s="93"/>
      <c r="X153" s="93"/>
      <c r="Y153" s="91"/>
      <c r="Z153" s="93"/>
      <c r="AA153" s="93"/>
      <c r="AB153" s="93"/>
      <c r="AC153" s="93"/>
      <c r="AD153" s="93"/>
      <c r="AE153" s="43"/>
    </row>
    <row r="154" ht="15.75" customHeight="1">
      <c r="A154" s="112"/>
      <c r="B154" s="106"/>
      <c r="C154" s="106"/>
      <c r="D154" s="106"/>
      <c r="E154" s="106"/>
      <c r="F154" s="107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110"/>
      <c r="R154" s="91"/>
      <c r="S154" s="93"/>
      <c r="T154" s="93"/>
      <c r="U154" s="93"/>
      <c r="V154" s="93"/>
      <c r="W154" s="93"/>
      <c r="X154" s="93"/>
      <c r="Y154" s="91"/>
      <c r="Z154" s="93"/>
      <c r="AA154" s="93"/>
      <c r="AB154" s="93"/>
      <c r="AC154" s="93"/>
      <c r="AD154" s="93"/>
      <c r="AE154" s="43"/>
      <c r="AG154" s="52"/>
    </row>
    <row r="155" ht="15.75" customHeight="1">
      <c r="A155" s="104"/>
      <c r="B155" s="104"/>
      <c r="C155" s="104"/>
      <c r="D155" s="104"/>
      <c r="E155" s="104"/>
      <c r="F155" s="104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110"/>
      <c r="R155" s="91"/>
      <c r="S155" s="93"/>
      <c r="T155" s="93"/>
      <c r="U155" s="93"/>
      <c r="V155" s="93"/>
      <c r="W155" s="93"/>
      <c r="X155" s="93"/>
      <c r="Y155" s="43"/>
      <c r="Z155" s="111"/>
      <c r="AA155" s="107"/>
      <c r="AB155" s="93"/>
      <c r="AC155" s="112"/>
      <c r="AD155" s="107"/>
      <c r="AE155" s="43"/>
    </row>
    <row r="156" ht="15.0" customHeight="1">
      <c r="A156" s="93"/>
      <c r="B156" s="93"/>
      <c r="C156" s="93"/>
      <c r="D156" s="93"/>
      <c r="E156" s="93"/>
      <c r="F156" s="93"/>
      <c r="G156" s="93"/>
      <c r="H156" s="113"/>
      <c r="I156" s="40"/>
      <c r="J156" s="40"/>
      <c r="K156" s="40"/>
      <c r="L156" s="40"/>
      <c r="M156" s="40"/>
      <c r="N156" s="41"/>
      <c r="O156" s="93"/>
      <c r="P156" s="93"/>
      <c r="Q156" s="110"/>
      <c r="R156" s="91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</row>
    <row r="157" ht="15.75" customHeight="1">
      <c r="A157" s="93"/>
      <c r="B157" s="93"/>
      <c r="C157" s="93"/>
      <c r="D157" s="93"/>
      <c r="E157" s="93"/>
      <c r="F157" s="93"/>
      <c r="G157" s="93"/>
      <c r="H157" s="44"/>
      <c r="I157" s="45"/>
      <c r="J157" s="45"/>
      <c r="K157" s="45"/>
      <c r="L157" s="45"/>
      <c r="M157" s="45"/>
      <c r="N157" s="46"/>
      <c r="O157" s="93"/>
      <c r="P157" s="93"/>
      <c r="Q157" s="110"/>
      <c r="R157" s="91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G157" s="52"/>
    </row>
    <row r="158" ht="15.75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110"/>
      <c r="R158" s="91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</row>
    <row r="159" ht="15.75" customHeight="1">
      <c r="A159" s="93"/>
      <c r="B159" s="93"/>
      <c r="C159" s="93"/>
      <c r="D159" s="93"/>
      <c r="E159" s="93"/>
      <c r="F159" s="93"/>
      <c r="G159" s="93"/>
      <c r="H159" s="43"/>
      <c r="I159" s="112"/>
      <c r="J159" s="106"/>
      <c r="K159" s="107"/>
      <c r="L159" s="112"/>
      <c r="M159" s="106"/>
      <c r="N159" s="107"/>
      <c r="O159" s="93"/>
      <c r="P159" s="93"/>
      <c r="Q159" s="110"/>
      <c r="R159" s="91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G159" s="52"/>
    </row>
    <row r="160" ht="15.75" customHeight="1">
      <c r="A160" s="93"/>
      <c r="B160" s="93"/>
      <c r="C160" s="93"/>
      <c r="D160" s="93"/>
      <c r="E160" s="93"/>
      <c r="F160" s="93"/>
      <c r="G160" s="93"/>
      <c r="H160" s="114"/>
      <c r="I160" s="113"/>
      <c r="J160" s="40"/>
      <c r="K160" s="41"/>
      <c r="L160" s="113"/>
      <c r="M160" s="40"/>
      <c r="N160" s="41"/>
      <c r="O160" s="93"/>
      <c r="P160" s="93"/>
      <c r="Q160" s="110"/>
      <c r="R160" s="91"/>
      <c r="S160" s="93"/>
      <c r="T160" s="93"/>
      <c r="U160" s="93"/>
      <c r="V160" s="93"/>
      <c r="W160" s="93"/>
      <c r="X160" s="93"/>
      <c r="Y160" s="93"/>
      <c r="Z160" s="93"/>
      <c r="AA160" s="93"/>
      <c r="AB160" s="115"/>
      <c r="AC160" s="93"/>
      <c r="AD160" s="93"/>
      <c r="AE160" s="93"/>
      <c r="AF160" s="52"/>
    </row>
    <row r="161" ht="15.75" customHeight="1">
      <c r="A161" s="93"/>
      <c r="B161" s="93"/>
      <c r="C161" s="93"/>
      <c r="D161" s="93"/>
      <c r="E161" s="93"/>
      <c r="F161" s="93"/>
      <c r="G161" s="93"/>
      <c r="H161" s="116"/>
      <c r="I161" s="44"/>
      <c r="J161" s="45"/>
      <c r="K161" s="46"/>
      <c r="L161" s="44"/>
      <c r="M161" s="45"/>
      <c r="N161" s="46"/>
      <c r="O161" s="93"/>
      <c r="P161" s="93"/>
      <c r="Q161" s="110"/>
      <c r="R161" s="91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</row>
    <row r="162" ht="15.75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110"/>
      <c r="R162" s="91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</row>
    <row r="163" ht="15.75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110"/>
      <c r="R163" s="91"/>
      <c r="S163" s="93"/>
      <c r="T163" s="93"/>
      <c r="U163" s="93"/>
      <c r="V163" s="93"/>
      <c r="W163" s="93"/>
      <c r="X163" s="93"/>
      <c r="Y163" s="93"/>
      <c r="Z163" s="93"/>
      <c r="AA163" s="93"/>
      <c r="AB163" s="117"/>
      <c r="AC163" s="93"/>
      <c r="AD163" s="93"/>
      <c r="AE163" s="93"/>
    </row>
    <row r="164" ht="15.75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110"/>
      <c r="R164" s="91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</row>
    <row r="165" ht="15.0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110"/>
      <c r="R165" s="91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</row>
    <row r="166" ht="15.75" customHeight="1">
      <c r="A166" s="110"/>
      <c r="B166" s="110"/>
      <c r="C166" s="110"/>
      <c r="D166" s="110"/>
      <c r="E166" s="110"/>
      <c r="F166" s="110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110"/>
      <c r="R166" s="91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</row>
    <row r="167" ht="15.75" customHeight="1">
      <c r="A167" s="110"/>
      <c r="B167" s="110"/>
      <c r="C167" s="110"/>
      <c r="D167" s="110"/>
      <c r="E167" s="110"/>
      <c r="F167" s="110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110"/>
      <c r="R167" s="91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</row>
    <row r="168" ht="15.75" customHeight="1">
      <c r="A168" s="110"/>
      <c r="B168" s="110"/>
      <c r="C168" s="110"/>
      <c r="D168" s="110"/>
      <c r="E168" s="110"/>
      <c r="F168" s="110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110"/>
      <c r="R168" s="91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</row>
    <row r="169" ht="15.0" customHeight="1">
      <c r="A169" s="110"/>
      <c r="B169" s="110"/>
      <c r="C169" s="110"/>
      <c r="D169" s="110"/>
      <c r="E169" s="110"/>
      <c r="F169" s="110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110"/>
      <c r="R169" s="91"/>
      <c r="S169" s="93"/>
      <c r="T169" s="93"/>
      <c r="U169" s="93"/>
      <c r="V169" s="93"/>
      <c r="W169" s="93"/>
      <c r="X169" s="93"/>
      <c r="Y169" s="113"/>
      <c r="Z169" s="40"/>
      <c r="AA169" s="40"/>
      <c r="AB169" s="40"/>
      <c r="AC169" s="40"/>
      <c r="AD169" s="40"/>
      <c r="AE169" s="41"/>
    </row>
    <row r="170" ht="15.75" customHeight="1">
      <c r="A170" s="110"/>
      <c r="B170" s="110"/>
      <c r="C170" s="110"/>
      <c r="D170" s="110"/>
      <c r="E170" s="110"/>
      <c r="F170" s="110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110"/>
      <c r="R170" s="91"/>
      <c r="S170" s="93"/>
      <c r="T170" s="93"/>
      <c r="U170" s="93"/>
      <c r="V170" s="93"/>
      <c r="W170" s="93"/>
      <c r="X170" s="93"/>
      <c r="Y170" s="44"/>
      <c r="Z170" s="45"/>
      <c r="AA170" s="45"/>
      <c r="AB170" s="45"/>
      <c r="AC170" s="45"/>
      <c r="AD170" s="45"/>
      <c r="AE170" s="46"/>
    </row>
    <row r="171" ht="15.75" customHeight="1">
      <c r="A171" s="110"/>
      <c r="B171" s="110"/>
      <c r="C171" s="110"/>
      <c r="D171" s="110"/>
      <c r="E171" s="110"/>
      <c r="F171" s="110"/>
      <c r="G171" s="93"/>
      <c r="H171" s="110"/>
      <c r="I171" s="110"/>
      <c r="J171" s="110"/>
      <c r="K171" s="110"/>
      <c r="L171" s="110"/>
      <c r="M171" s="110"/>
      <c r="N171" s="110"/>
      <c r="O171" s="93"/>
      <c r="P171" s="93"/>
      <c r="Q171" s="110"/>
      <c r="R171" s="91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</row>
    <row r="172" ht="15.75" customHeight="1">
      <c r="A172" s="110"/>
      <c r="B172" s="110"/>
      <c r="C172" s="110"/>
      <c r="D172" s="110"/>
      <c r="E172" s="110"/>
      <c r="F172" s="110"/>
      <c r="G172" s="93"/>
      <c r="H172" s="110"/>
      <c r="I172" s="110"/>
      <c r="J172" s="110"/>
      <c r="K172" s="110"/>
      <c r="L172" s="110"/>
      <c r="M172" s="110"/>
      <c r="N172" s="110"/>
      <c r="O172" s="93"/>
      <c r="P172" s="93"/>
      <c r="Q172" s="110"/>
      <c r="R172" s="91"/>
      <c r="S172" s="93"/>
      <c r="T172" s="93"/>
      <c r="U172" s="93"/>
      <c r="V172" s="93"/>
      <c r="W172" s="93"/>
      <c r="X172" s="93"/>
      <c r="Y172" s="43"/>
      <c r="Z172" s="112"/>
      <c r="AA172" s="106"/>
      <c r="AB172" s="107"/>
      <c r="AC172" s="112"/>
      <c r="AD172" s="106"/>
      <c r="AE172" s="107"/>
    </row>
    <row r="173" ht="15.75" customHeight="1">
      <c r="A173" s="110"/>
      <c r="B173" s="110"/>
      <c r="C173" s="110"/>
      <c r="D173" s="110"/>
      <c r="E173" s="110"/>
      <c r="F173" s="110"/>
      <c r="G173" s="93"/>
      <c r="H173" s="110"/>
      <c r="I173" s="110"/>
      <c r="J173" s="110"/>
      <c r="K173" s="110"/>
      <c r="L173" s="110"/>
      <c r="M173" s="110"/>
      <c r="N173" s="110"/>
      <c r="O173" s="93"/>
      <c r="P173" s="93"/>
      <c r="Q173" s="110"/>
      <c r="R173" s="112"/>
      <c r="S173" s="106"/>
      <c r="T173" s="106"/>
      <c r="U173" s="106"/>
      <c r="V173" s="106"/>
      <c r="W173" s="107"/>
      <c r="X173" s="93"/>
      <c r="Y173" s="114"/>
      <c r="Z173" s="113"/>
      <c r="AA173" s="40"/>
      <c r="AB173" s="41"/>
      <c r="AC173" s="113"/>
      <c r="AD173" s="40"/>
      <c r="AE173" s="41"/>
    </row>
    <row r="174" ht="15.75" customHeight="1">
      <c r="A174" s="110"/>
      <c r="B174" s="110"/>
      <c r="C174" s="110"/>
      <c r="D174" s="110"/>
      <c r="E174" s="110"/>
      <c r="F174" s="110"/>
      <c r="G174" s="93"/>
      <c r="H174" s="110"/>
      <c r="I174" s="110"/>
      <c r="J174" s="110"/>
      <c r="K174" s="110"/>
      <c r="L174" s="110"/>
      <c r="M174" s="110"/>
      <c r="N174" s="110"/>
      <c r="O174" s="93"/>
      <c r="P174" s="93"/>
      <c r="Q174" s="110"/>
      <c r="R174" s="104"/>
      <c r="S174" s="104"/>
      <c r="T174" s="104"/>
      <c r="U174" s="104"/>
      <c r="V174" s="104"/>
      <c r="W174" s="104"/>
      <c r="X174" s="93"/>
      <c r="Y174" s="116"/>
      <c r="Z174" s="44"/>
      <c r="AA174" s="45"/>
      <c r="AB174" s="46"/>
      <c r="AC174" s="44"/>
      <c r="AD174" s="45"/>
      <c r="AE174" s="46"/>
    </row>
    <row r="175" ht="15.75" customHeight="1">
      <c r="A175" s="110"/>
      <c r="B175" s="110"/>
      <c r="C175" s="110"/>
      <c r="D175" s="110"/>
      <c r="E175" s="110"/>
      <c r="F175" s="110"/>
      <c r="G175" s="93"/>
      <c r="H175" s="110"/>
      <c r="I175" s="110"/>
      <c r="J175" s="110"/>
      <c r="K175" s="110"/>
      <c r="L175" s="110"/>
      <c r="M175" s="110"/>
      <c r="N175" s="110"/>
      <c r="O175" s="93"/>
      <c r="P175" s="93"/>
      <c r="Q175" s="110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</row>
    <row r="176" ht="15.75" customHeight="1">
      <c r="A176" s="110"/>
      <c r="B176" s="110"/>
      <c r="C176" s="110"/>
      <c r="D176" s="110"/>
      <c r="E176" s="110"/>
      <c r="F176" s="110"/>
      <c r="G176" s="93"/>
      <c r="H176" s="110"/>
      <c r="I176" s="110"/>
      <c r="J176" s="110"/>
      <c r="K176" s="110"/>
      <c r="L176" s="110"/>
      <c r="M176" s="110"/>
      <c r="N176" s="110"/>
      <c r="O176" s="93"/>
      <c r="P176" s="93"/>
      <c r="Q176" s="110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</row>
    <row r="177" ht="15.75" customHeight="1">
      <c r="A177" s="110"/>
      <c r="B177" s="110"/>
      <c r="C177" s="110"/>
      <c r="D177" s="110"/>
      <c r="E177" s="110"/>
      <c r="F177" s="110"/>
      <c r="G177" s="93"/>
      <c r="H177" s="110"/>
      <c r="I177" s="110"/>
      <c r="J177" s="110"/>
      <c r="K177" s="110"/>
      <c r="L177" s="110"/>
      <c r="M177" s="110"/>
      <c r="N177" s="110"/>
      <c r="O177" s="93"/>
      <c r="P177" s="93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</row>
    <row r="178" ht="15.75" customHeight="1">
      <c r="A178" s="110"/>
      <c r="B178" s="110"/>
      <c r="C178" s="110"/>
      <c r="D178" s="110"/>
      <c r="E178" s="110"/>
      <c r="F178" s="110"/>
      <c r="G178" s="93"/>
      <c r="H178" s="110"/>
      <c r="I178" s="110"/>
      <c r="J178" s="110"/>
      <c r="K178" s="110"/>
      <c r="L178" s="110"/>
      <c r="M178" s="110"/>
      <c r="N178" s="110"/>
      <c r="O178" s="93"/>
      <c r="P178" s="93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</row>
    <row r="179" ht="15.75" customHeight="1">
      <c r="A179" s="110"/>
      <c r="B179" s="110"/>
      <c r="C179" s="110"/>
      <c r="D179" s="110"/>
      <c r="E179" s="110"/>
      <c r="F179" s="110"/>
      <c r="G179" s="93"/>
      <c r="H179" s="110"/>
      <c r="I179" s="110"/>
      <c r="J179" s="110"/>
      <c r="K179" s="110"/>
      <c r="L179" s="110"/>
      <c r="M179" s="110"/>
      <c r="N179" s="110"/>
      <c r="O179" s="93"/>
      <c r="P179" s="93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</row>
    <row r="180" ht="15.75" customHeight="1">
      <c r="A180" s="110"/>
      <c r="B180" s="110"/>
      <c r="C180" s="110"/>
      <c r="D180" s="110"/>
      <c r="E180" s="110"/>
      <c r="F180" s="110"/>
      <c r="G180" s="93"/>
      <c r="H180" s="110"/>
      <c r="I180" s="110"/>
      <c r="J180" s="110"/>
      <c r="K180" s="110"/>
      <c r="L180" s="110"/>
      <c r="M180" s="110"/>
      <c r="N180" s="110"/>
      <c r="O180" s="93"/>
      <c r="P180" s="93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</row>
    <row r="181" ht="15.75" customHeight="1">
      <c r="A181" s="110"/>
      <c r="B181" s="110"/>
      <c r="C181" s="110"/>
      <c r="D181" s="110"/>
      <c r="E181" s="110"/>
      <c r="F181" s="110"/>
      <c r="G181" s="93"/>
      <c r="H181" s="110"/>
      <c r="I181" s="110"/>
      <c r="J181" s="110"/>
      <c r="K181" s="110"/>
      <c r="L181" s="110"/>
      <c r="M181" s="110"/>
      <c r="N181" s="110"/>
      <c r="O181" s="93"/>
      <c r="P181" s="93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</row>
    <row r="182" ht="15.75" customHeight="1">
      <c r="A182" s="110"/>
      <c r="B182" s="110"/>
      <c r="C182" s="110"/>
      <c r="D182" s="110"/>
      <c r="E182" s="110"/>
      <c r="F182" s="110"/>
      <c r="G182" s="93"/>
      <c r="H182" s="110"/>
      <c r="I182" s="110"/>
      <c r="J182" s="110"/>
      <c r="K182" s="110"/>
      <c r="L182" s="110"/>
      <c r="M182" s="110"/>
      <c r="N182" s="110"/>
      <c r="O182" s="93"/>
      <c r="P182" s="93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</row>
    <row r="183" ht="15.75" customHeight="1">
      <c r="A183" s="110"/>
      <c r="B183" s="110"/>
      <c r="C183" s="110"/>
      <c r="D183" s="110"/>
      <c r="E183" s="110"/>
      <c r="F183" s="110"/>
      <c r="G183" s="93"/>
      <c r="H183" s="110"/>
      <c r="I183" s="110"/>
      <c r="J183" s="110"/>
      <c r="K183" s="110"/>
      <c r="L183" s="110"/>
      <c r="M183" s="110"/>
      <c r="N183" s="110"/>
      <c r="O183" s="93"/>
      <c r="P183" s="93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</row>
    <row r="184" ht="15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</row>
    <row r="185" ht="15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</row>
    <row r="186" ht="15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</row>
    <row r="187" ht="15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</row>
    <row r="188" ht="15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</row>
    <row r="189" ht="15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</row>
    <row r="190" ht="15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</row>
    <row r="191" ht="15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</row>
    <row r="192" ht="15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</row>
    <row r="193" ht="15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</row>
    <row r="194" ht="15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</row>
    <row r="195" ht="15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</row>
    <row r="196" ht="15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</row>
    <row r="197" ht="15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</row>
    <row r="198" ht="15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</row>
    <row r="199" ht="15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</row>
    <row r="200" ht="15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</row>
    <row r="201" ht="15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</row>
    <row r="202" ht="15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</row>
    <row r="203" ht="15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</row>
    <row r="204" ht="15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</row>
    <row r="205" ht="15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</row>
    <row r="206" ht="15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</row>
    <row r="207" ht="15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</row>
    <row r="208" ht="15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</row>
    <row r="209" ht="15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</row>
    <row r="210" ht="15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</row>
    <row r="211" ht="15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</row>
    <row r="212" ht="15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</row>
    <row r="213" ht="15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</row>
    <row r="214" ht="15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</row>
    <row r="215" ht="15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</row>
    <row r="216" ht="15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</row>
    <row r="217" ht="15.75" customHeight="1">
      <c r="A217" s="110"/>
      <c r="B217" s="110"/>
      <c r="C217" s="110"/>
      <c r="D217" s="110"/>
      <c r="E217" s="110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</row>
    <row r="218" ht="15.75" customHeight="1"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  <c r="AC218" s="119"/>
      <c r="AD218" s="119"/>
      <c r="AE218" s="119"/>
    </row>
    <row r="219" ht="15.75" customHeight="1"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  <c r="AC219" s="119"/>
      <c r="AD219" s="119"/>
      <c r="AE219" s="119"/>
    </row>
    <row r="220" ht="15.75" customHeight="1"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  <c r="AC220" s="119"/>
      <c r="AD220" s="119"/>
      <c r="AE220" s="119"/>
    </row>
    <row r="221" ht="15.75" customHeight="1"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  <c r="AC221" s="119"/>
      <c r="AD221" s="119"/>
      <c r="AE221" s="119"/>
    </row>
    <row r="222" ht="15.75" customHeight="1"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19"/>
      <c r="AE222" s="119"/>
    </row>
    <row r="223" ht="15.75" customHeight="1">
      <c r="G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19"/>
      <c r="AE223" s="119"/>
    </row>
    <row r="224" ht="15.75" customHeight="1">
      <c r="G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  <c r="AE224" s="119"/>
    </row>
    <row r="225" ht="15.75" customHeight="1">
      <c r="G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</row>
    <row r="226" ht="15.75" customHeight="1">
      <c r="G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19"/>
      <c r="AE226" s="119"/>
    </row>
    <row r="227" ht="15.75" customHeight="1">
      <c r="G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  <c r="AE227" s="119"/>
    </row>
    <row r="228" ht="15.75" customHeight="1">
      <c r="G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  <c r="AC228" s="119"/>
      <c r="AD228" s="119"/>
      <c r="AE228" s="119"/>
    </row>
    <row r="229" ht="15.75" customHeight="1">
      <c r="G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  <c r="AC229" s="119"/>
      <c r="AD229" s="119"/>
      <c r="AE229" s="119"/>
    </row>
    <row r="230" ht="15.75" customHeight="1">
      <c r="G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19"/>
      <c r="AE230" s="119"/>
    </row>
    <row r="231" ht="15.75" customHeight="1">
      <c r="G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  <c r="AC231" s="119"/>
      <c r="AD231" s="119"/>
      <c r="AE231" s="119"/>
    </row>
    <row r="232" ht="15.75" customHeight="1">
      <c r="G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  <c r="AE232" s="119"/>
    </row>
    <row r="233" ht="15.75" customHeight="1">
      <c r="G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  <c r="AC233" s="119"/>
      <c r="AD233" s="119"/>
      <c r="AE233" s="119"/>
    </row>
    <row r="234" ht="15.75" customHeight="1">
      <c r="G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  <c r="AC234" s="119"/>
      <c r="AD234" s="119"/>
      <c r="AE234" s="119"/>
    </row>
    <row r="235" ht="15.75" customHeight="1">
      <c r="G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  <c r="AC235" s="119"/>
      <c r="AD235" s="119"/>
      <c r="AE235" s="119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Z172:AB172"/>
    <mergeCell ref="AC172:AE172"/>
    <mergeCell ref="R173:W173"/>
    <mergeCell ref="Y173:Y174"/>
    <mergeCell ref="Z173:AB174"/>
    <mergeCell ref="AC173:AE174"/>
    <mergeCell ref="H156:N157"/>
    <mergeCell ref="I159:K159"/>
    <mergeCell ref="L159:N159"/>
    <mergeCell ref="H160:H161"/>
    <mergeCell ref="I160:K161"/>
    <mergeCell ref="L160:N161"/>
    <mergeCell ref="Y169:AE170"/>
    <mergeCell ref="J2:N2"/>
    <mergeCell ref="AA2:AE2"/>
    <mergeCell ref="AH2:AJ3"/>
    <mergeCell ref="AH4:AJ5"/>
    <mergeCell ref="AH6:AJ8"/>
    <mergeCell ref="Z33:AA33"/>
    <mergeCell ref="AC33:AD33"/>
    <mergeCell ref="Y65:Y66"/>
    <mergeCell ref="Z65:AB66"/>
    <mergeCell ref="AC65:AE66"/>
    <mergeCell ref="AA70:AE70"/>
    <mergeCell ref="I53:K54"/>
    <mergeCell ref="L53:N54"/>
    <mergeCell ref="Y56:AE57"/>
    <mergeCell ref="H57:N57"/>
    <mergeCell ref="Z64:AB64"/>
    <mergeCell ref="AC64:AE64"/>
    <mergeCell ref="R65:W65"/>
    <mergeCell ref="I45:J45"/>
    <mergeCell ref="L45:M45"/>
    <mergeCell ref="H49:N50"/>
    <mergeCell ref="I52:K52"/>
    <mergeCell ref="L52:N52"/>
    <mergeCell ref="A53:F53"/>
    <mergeCell ref="H53:H54"/>
    <mergeCell ref="I88:J88"/>
    <mergeCell ref="L88:M88"/>
    <mergeCell ref="H97:N98"/>
    <mergeCell ref="A101:F101"/>
    <mergeCell ref="Z101:AA101"/>
    <mergeCell ref="J111:N111"/>
    <mergeCell ref="AC101:AD101"/>
    <mergeCell ref="Y115:AE116"/>
    <mergeCell ref="Z118:AB118"/>
    <mergeCell ref="AC118:AE118"/>
    <mergeCell ref="R119:W119"/>
    <mergeCell ref="Y119:Y120"/>
    <mergeCell ref="Z119:AB120"/>
    <mergeCell ref="AC119:AE120"/>
    <mergeCell ref="AA124:AE124"/>
    <mergeCell ref="I142:J142"/>
    <mergeCell ref="L142:M142"/>
    <mergeCell ref="A154:F154"/>
    <mergeCell ref="Z155:AA155"/>
    <mergeCell ref="AC155:AD15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0.86"/>
    <col customWidth="1" min="3" max="5" width="8.71"/>
    <col customWidth="1" min="6" max="6" width="6.71"/>
    <col customWidth="1" min="7" max="7" width="5.71"/>
    <col customWidth="1" min="8" max="8" width="13.71"/>
    <col customWidth="1" min="9" max="10" width="7.29"/>
    <col customWidth="1" min="11" max="13" width="5.71"/>
    <col customWidth="1" min="14" max="14" width="6.29"/>
    <col customWidth="1" min="15" max="17" width="8.71"/>
    <col customWidth="1" min="18" max="18" width="12.86"/>
    <col customWidth="1" min="19" max="19" width="10.57"/>
    <col customWidth="1" min="20" max="25" width="8.71"/>
    <col customWidth="1" min="26" max="30" width="5.71"/>
    <col customWidth="1" min="31" max="37" width="8.71"/>
  </cols>
  <sheetData>
    <row r="3">
      <c r="A3" s="71" t="s">
        <v>14</v>
      </c>
      <c r="B3" s="72"/>
      <c r="C3" s="72"/>
      <c r="D3" s="73"/>
      <c r="E3" s="73"/>
      <c r="F3" s="73"/>
      <c r="G3" s="72"/>
      <c r="H3" s="72"/>
      <c r="I3" s="72"/>
      <c r="J3" s="120">
        <f>TODAY()</f>
        <v>46173</v>
      </c>
      <c r="K3" s="5"/>
      <c r="L3" s="5"/>
      <c r="M3" s="5"/>
      <c r="N3" s="6"/>
      <c r="R3" s="71"/>
      <c r="S3" s="72"/>
      <c r="T3" s="72"/>
      <c r="U3" s="73"/>
      <c r="V3" s="73"/>
      <c r="W3" s="73"/>
      <c r="X3" s="72"/>
      <c r="Y3" s="72"/>
      <c r="Z3" s="72"/>
      <c r="AA3" s="120"/>
      <c r="AB3" s="5"/>
      <c r="AC3" s="5"/>
      <c r="AD3" s="5"/>
      <c r="AE3" s="6"/>
    </row>
    <row r="4">
      <c r="A4" s="15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7" t="s">
        <v>7</v>
      </c>
      <c r="H4" s="18" t="s">
        <v>2</v>
      </c>
      <c r="I4" s="19"/>
      <c r="J4" s="19"/>
      <c r="K4" s="19"/>
      <c r="L4" s="19"/>
      <c r="M4" s="19"/>
      <c r="N4" s="20" t="s">
        <v>3</v>
      </c>
      <c r="R4" s="15"/>
      <c r="S4" s="16"/>
      <c r="T4" s="16"/>
      <c r="U4" s="16"/>
      <c r="V4" s="16"/>
      <c r="W4" s="17"/>
      <c r="Y4" s="18"/>
      <c r="Z4" s="19"/>
      <c r="AA4" s="19"/>
      <c r="AB4" s="19"/>
      <c r="AC4" s="19"/>
      <c r="AD4" s="19"/>
      <c r="AE4" s="20"/>
    </row>
    <row r="5">
      <c r="A5" s="121"/>
      <c r="B5" s="122"/>
      <c r="C5" s="122"/>
      <c r="D5" s="122"/>
      <c r="E5" s="122"/>
      <c r="F5" s="123"/>
      <c r="G5" s="124"/>
      <c r="H5" s="125"/>
      <c r="I5" s="122"/>
      <c r="J5" s="122"/>
      <c r="K5" s="122"/>
      <c r="L5" s="122"/>
      <c r="M5" s="122"/>
      <c r="N5" s="35">
        <f t="shared" ref="N5:N58" si="1">SUM(I5:M5)</f>
        <v>0</v>
      </c>
      <c r="R5" s="47"/>
      <c r="S5" s="32"/>
      <c r="T5" s="32"/>
      <c r="U5" s="32"/>
      <c r="V5" s="32"/>
      <c r="W5" s="32"/>
      <c r="Y5" s="47"/>
      <c r="Z5" s="31"/>
      <c r="AA5" s="31"/>
      <c r="AB5" s="31"/>
      <c r="AC5" s="31"/>
      <c r="AD5" s="31"/>
      <c r="AE5" s="35"/>
      <c r="AI5" s="11" t="s">
        <v>1</v>
      </c>
      <c r="AJ5" s="12"/>
      <c r="AK5" s="13"/>
    </row>
    <row r="6">
      <c r="A6" s="121"/>
      <c r="B6" s="122"/>
      <c r="C6" s="123"/>
      <c r="D6" s="123"/>
      <c r="E6" s="123"/>
      <c r="F6" s="123"/>
      <c r="G6" s="124"/>
      <c r="H6" s="125"/>
      <c r="I6" s="122"/>
      <c r="J6" s="122"/>
      <c r="K6" s="122"/>
      <c r="L6" s="122"/>
      <c r="M6" s="122"/>
      <c r="N6" s="42">
        <f t="shared" si="1"/>
        <v>0</v>
      </c>
      <c r="R6" s="47"/>
      <c r="S6" s="32"/>
      <c r="T6" s="32"/>
      <c r="U6" s="32"/>
      <c r="V6" s="32"/>
      <c r="W6" s="32"/>
      <c r="Y6" s="47"/>
      <c r="Z6" s="31"/>
      <c r="AA6" s="31"/>
      <c r="AB6" s="31"/>
      <c r="AC6" s="31"/>
      <c r="AD6" s="31"/>
      <c r="AE6" s="42"/>
      <c r="AI6" s="28"/>
      <c r="AK6" s="29"/>
    </row>
    <row r="7">
      <c r="A7" s="125"/>
      <c r="B7" s="123"/>
      <c r="C7" s="123"/>
      <c r="D7" s="123"/>
      <c r="E7" s="123"/>
      <c r="F7" s="123"/>
      <c r="G7" s="124"/>
      <c r="H7" s="125"/>
      <c r="I7" s="122"/>
      <c r="J7" s="122"/>
      <c r="K7" s="122"/>
      <c r="L7" s="122"/>
      <c r="M7" s="122"/>
      <c r="N7" s="42">
        <f t="shared" si="1"/>
        <v>0</v>
      </c>
      <c r="R7" s="47"/>
      <c r="S7" s="32"/>
      <c r="T7" s="32"/>
      <c r="U7" s="32"/>
      <c r="V7" s="32"/>
      <c r="W7" s="32"/>
      <c r="Y7" s="47"/>
      <c r="Z7" s="31"/>
      <c r="AA7" s="31"/>
      <c r="AB7" s="31"/>
      <c r="AC7" s="31"/>
      <c r="AD7" s="31"/>
      <c r="AE7" s="42"/>
      <c r="AI7" s="63"/>
      <c r="AJ7" s="64"/>
      <c r="AK7" s="65"/>
    </row>
    <row r="8">
      <c r="A8" s="125"/>
      <c r="B8" s="123"/>
      <c r="C8" s="123"/>
      <c r="D8" s="123"/>
      <c r="E8" s="123"/>
      <c r="F8" s="123"/>
      <c r="G8" s="124"/>
      <c r="H8" s="125"/>
      <c r="I8" s="122"/>
      <c r="J8" s="122"/>
      <c r="K8" s="122"/>
      <c r="L8" s="122"/>
      <c r="M8" s="122"/>
      <c r="N8" s="42">
        <f t="shared" si="1"/>
        <v>0</v>
      </c>
      <c r="R8" s="47"/>
      <c r="S8" s="32"/>
      <c r="T8" s="32"/>
      <c r="U8" s="32"/>
      <c r="V8" s="32"/>
      <c r="W8" s="32"/>
      <c r="Y8" s="47"/>
      <c r="Z8" s="31"/>
      <c r="AA8" s="31"/>
      <c r="AB8" s="31"/>
      <c r="AC8" s="31"/>
      <c r="AD8" s="31"/>
      <c r="AE8" s="42"/>
      <c r="AI8" s="11">
        <f>SUM(I64,Z44)</f>
        <v>0</v>
      </c>
      <c r="AJ8" s="13"/>
      <c r="AK8" s="126" t="s">
        <v>15</v>
      </c>
    </row>
    <row r="9">
      <c r="A9" s="125"/>
      <c r="B9" s="123"/>
      <c r="C9" s="123"/>
      <c r="D9" s="123"/>
      <c r="E9" s="123"/>
      <c r="F9" s="123"/>
      <c r="G9" s="124"/>
      <c r="H9" s="125"/>
      <c r="I9" s="122"/>
      <c r="J9" s="122"/>
      <c r="K9" s="122"/>
      <c r="L9" s="122"/>
      <c r="M9" s="122"/>
      <c r="N9" s="42">
        <f t="shared" si="1"/>
        <v>0</v>
      </c>
      <c r="R9" s="47"/>
      <c r="S9" s="32"/>
      <c r="T9" s="32"/>
      <c r="U9" s="32"/>
      <c r="V9" s="32"/>
      <c r="W9" s="32"/>
      <c r="Y9" s="47"/>
      <c r="Z9" s="31"/>
      <c r="AA9" s="31"/>
      <c r="AB9" s="31"/>
      <c r="AC9" s="31"/>
      <c r="AD9" s="31"/>
      <c r="AE9" s="42"/>
      <c r="AI9" s="63"/>
      <c r="AJ9" s="65"/>
      <c r="AK9" s="69"/>
    </row>
    <row r="10">
      <c r="A10" s="125"/>
      <c r="B10" s="123"/>
      <c r="C10" s="123"/>
      <c r="D10" s="123"/>
      <c r="E10" s="123"/>
      <c r="F10" s="123"/>
      <c r="G10" s="124"/>
      <c r="H10" s="125"/>
      <c r="I10" s="122"/>
      <c r="J10" s="122"/>
      <c r="K10" s="122"/>
      <c r="L10" s="122"/>
      <c r="M10" s="122"/>
      <c r="N10" s="42">
        <f t="shared" si="1"/>
        <v>0</v>
      </c>
      <c r="R10" s="47"/>
      <c r="S10" s="32"/>
      <c r="T10" s="32"/>
      <c r="U10" s="32"/>
      <c r="V10" s="32"/>
      <c r="W10" s="32"/>
      <c r="Y10" s="47"/>
      <c r="Z10" s="31"/>
      <c r="AA10" s="31"/>
      <c r="AB10" s="31"/>
      <c r="AC10" s="31"/>
      <c r="AD10" s="31"/>
      <c r="AE10" s="42"/>
      <c r="AI10" s="11">
        <f>SUM(L64,AC44)</f>
        <v>0</v>
      </c>
      <c r="AJ10" s="13"/>
      <c r="AK10" s="126" t="s">
        <v>16</v>
      </c>
    </row>
    <row r="11">
      <c r="A11" s="125"/>
      <c r="B11" s="123"/>
      <c r="C11" s="123"/>
      <c r="D11" s="123"/>
      <c r="E11" s="123"/>
      <c r="F11" s="123"/>
      <c r="G11" s="124"/>
      <c r="H11" s="125"/>
      <c r="I11" s="122"/>
      <c r="J11" s="122"/>
      <c r="K11" s="122"/>
      <c r="L11" s="122"/>
      <c r="M11" s="122"/>
      <c r="N11" s="42">
        <f t="shared" si="1"/>
        <v>0</v>
      </c>
      <c r="R11" s="47"/>
      <c r="S11" s="32"/>
      <c r="T11" s="32"/>
      <c r="U11" s="32"/>
      <c r="V11" s="32"/>
      <c r="W11" s="32"/>
      <c r="Y11" s="47"/>
      <c r="Z11" s="31"/>
      <c r="AA11" s="31"/>
      <c r="AB11" s="31"/>
      <c r="AC11" s="31"/>
      <c r="AD11" s="31"/>
      <c r="AE11" s="42"/>
      <c r="AI11" s="63"/>
      <c r="AJ11" s="65"/>
      <c r="AK11" s="69"/>
    </row>
    <row r="12">
      <c r="A12" s="125"/>
      <c r="B12" s="123"/>
      <c r="C12" s="123"/>
      <c r="D12" s="123"/>
      <c r="E12" s="123"/>
      <c r="F12" s="123"/>
      <c r="G12" s="124"/>
      <c r="H12" s="125"/>
      <c r="I12" s="122"/>
      <c r="J12" s="122"/>
      <c r="K12" s="122"/>
      <c r="L12" s="122"/>
      <c r="M12" s="122"/>
      <c r="N12" s="42">
        <f t="shared" si="1"/>
        <v>0</v>
      </c>
      <c r="R12" s="47"/>
      <c r="S12" s="32"/>
      <c r="T12" s="32"/>
      <c r="U12" s="32"/>
      <c r="V12" s="32"/>
      <c r="W12" s="32"/>
      <c r="Y12" s="47"/>
      <c r="Z12" s="31"/>
      <c r="AA12" s="31"/>
      <c r="AB12" s="31"/>
      <c r="AC12" s="31"/>
      <c r="AD12" s="31"/>
      <c r="AE12" s="42"/>
      <c r="AI12" s="11">
        <f>SUM(H64,Y44)</f>
        <v>0</v>
      </c>
      <c r="AJ12" s="12"/>
      <c r="AK12" s="126" t="s">
        <v>3</v>
      </c>
    </row>
    <row r="13">
      <c r="A13" s="125"/>
      <c r="B13" s="123"/>
      <c r="C13" s="123"/>
      <c r="D13" s="123"/>
      <c r="E13" s="123"/>
      <c r="F13" s="123"/>
      <c r="G13" s="124"/>
      <c r="H13" s="125"/>
      <c r="I13" s="122"/>
      <c r="J13" s="122"/>
      <c r="K13" s="122"/>
      <c r="L13" s="122"/>
      <c r="M13" s="122"/>
      <c r="N13" s="42">
        <f t="shared" si="1"/>
        <v>0</v>
      </c>
      <c r="R13" s="47"/>
      <c r="S13" s="32"/>
      <c r="T13" s="32"/>
      <c r="U13" s="32"/>
      <c r="V13" s="32"/>
      <c r="W13" s="32"/>
      <c r="Y13" s="47"/>
      <c r="Z13" s="31"/>
      <c r="AA13" s="31"/>
      <c r="AB13" s="31"/>
      <c r="AC13" s="31"/>
      <c r="AD13" s="31"/>
      <c r="AE13" s="42"/>
      <c r="AI13" s="63"/>
      <c r="AJ13" s="64"/>
      <c r="AK13" s="69"/>
    </row>
    <row r="14">
      <c r="A14" s="125"/>
      <c r="B14" s="123"/>
      <c r="C14" s="123"/>
      <c r="D14" s="123"/>
      <c r="E14" s="123"/>
      <c r="F14" s="123"/>
      <c r="G14" s="124"/>
      <c r="H14" s="125"/>
      <c r="I14" s="122"/>
      <c r="J14" s="122"/>
      <c r="K14" s="122"/>
      <c r="L14" s="122"/>
      <c r="M14" s="122"/>
      <c r="N14" s="42">
        <f t="shared" si="1"/>
        <v>0</v>
      </c>
      <c r="R14" s="47"/>
      <c r="S14" s="32"/>
      <c r="T14" s="32"/>
      <c r="U14" s="32"/>
      <c r="V14" s="32"/>
      <c r="W14" s="32"/>
      <c r="Y14" s="47"/>
      <c r="Z14" s="31"/>
      <c r="AA14" s="31"/>
      <c r="AB14" s="31"/>
      <c r="AC14" s="31"/>
      <c r="AD14" s="31"/>
      <c r="AE14" s="42"/>
      <c r="AI14" s="127">
        <f>L68+AC48</f>
        <v>0</v>
      </c>
      <c r="AJ14" s="12"/>
      <c r="AK14" s="128" t="s">
        <v>17</v>
      </c>
    </row>
    <row r="15">
      <c r="A15" s="125"/>
      <c r="B15" s="123"/>
      <c r="C15" s="123"/>
      <c r="D15" s="123"/>
      <c r="E15" s="123"/>
      <c r="F15" s="123"/>
      <c r="G15" s="124"/>
      <c r="H15" s="125"/>
      <c r="I15" s="122"/>
      <c r="J15" s="122"/>
      <c r="K15" s="122"/>
      <c r="L15" s="122"/>
      <c r="M15" s="122"/>
      <c r="N15" s="42">
        <f t="shared" si="1"/>
        <v>0</v>
      </c>
      <c r="R15" s="47"/>
      <c r="S15" s="32"/>
      <c r="T15" s="32"/>
      <c r="U15" s="32"/>
      <c r="V15" s="32"/>
      <c r="W15" s="32"/>
      <c r="Y15" s="47"/>
      <c r="Z15" s="31"/>
      <c r="AA15" s="31"/>
      <c r="AB15" s="31"/>
      <c r="AC15" s="31"/>
      <c r="AD15" s="31"/>
      <c r="AE15" s="42"/>
      <c r="AI15" s="63"/>
      <c r="AJ15" s="64"/>
      <c r="AK15" s="69"/>
    </row>
    <row r="16">
      <c r="A16" s="125"/>
      <c r="B16" s="123"/>
      <c r="C16" s="123"/>
      <c r="D16" s="123"/>
      <c r="E16" s="123"/>
      <c r="F16" s="123"/>
      <c r="G16" s="124"/>
      <c r="H16" s="125"/>
      <c r="I16" s="122"/>
      <c r="J16" s="122"/>
      <c r="K16" s="122"/>
      <c r="L16" s="122"/>
      <c r="M16" s="122"/>
      <c r="N16" s="42">
        <f t="shared" si="1"/>
        <v>0</v>
      </c>
      <c r="R16" s="47"/>
      <c r="S16" s="32"/>
      <c r="T16" s="32"/>
      <c r="U16" s="32"/>
      <c r="V16" s="32"/>
      <c r="W16" s="32"/>
      <c r="Y16" s="47"/>
      <c r="Z16" s="31"/>
      <c r="AA16" s="31"/>
      <c r="AB16" s="31"/>
      <c r="AC16" s="31"/>
      <c r="AD16" s="31"/>
      <c r="AE16" s="42"/>
    </row>
    <row r="17">
      <c r="A17" s="125"/>
      <c r="B17" s="123"/>
      <c r="C17" s="123"/>
      <c r="D17" s="123"/>
      <c r="E17" s="123"/>
      <c r="F17" s="123"/>
      <c r="G17" s="124"/>
      <c r="H17" s="125"/>
      <c r="I17" s="122"/>
      <c r="J17" s="122"/>
      <c r="K17" s="122"/>
      <c r="L17" s="122"/>
      <c r="M17" s="122"/>
      <c r="N17" s="42">
        <f t="shared" si="1"/>
        <v>0</v>
      </c>
      <c r="R17" s="47"/>
      <c r="S17" s="32"/>
      <c r="T17" s="32"/>
      <c r="U17" s="32"/>
      <c r="V17" s="32"/>
      <c r="W17" s="32"/>
      <c r="Y17" s="47"/>
      <c r="Z17" s="31"/>
      <c r="AA17" s="31"/>
      <c r="AB17" s="31"/>
      <c r="AC17" s="31"/>
      <c r="AD17" s="31"/>
      <c r="AE17" s="42"/>
    </row>
    <row r="18">
      <c r="A18" s="125"/>
      <c r="B18" s="123"/>
      <c r="C18" s="123"/>
      <c r="D18" s="123"/>
      <c r="E18" s="123"/>
      <c r="F18" s="123"/>
      <c r="G18" s="124"/>
      <c r="H18" s="125"/>
      <c r="I18" s="122"/>
      <c r="J18" s="122"/>
      <c r="K18" s="122"/>
      <c r="L18" s="122"/>
      <c r="M18" s="122"/>
      <c r="N18" s="42">
        <f t="shared" si="1"/>
        <v>0</v>
      </c>
      <c r="R18" s="47"/>
      <c r="S18" s="32"/>
      <c r="T18" s="32"/>
      <c r="U18" s="32"/>
      <c r="V18" s="32"/>
      <c r="W18" s="32"/>
      <c r="Y18" s="47"/>
      <c r="Z18" s="31"/>
      <c r="AA18" s="31"/>
      <c r="AB18" s="31"/>
      <c r="AC18" s="31"/>
      <c r="AD18" s="31"/>
      <c r="AE18" s="42"/>
    </row>
    <row r="19">
      <c r="A19" s="125"/>
      <c r="B19" s="123"/>
      <c r="C19" s="123"/>
      <c r="D19" s="123"/>
      <c r="E19" s="123"/>
      <c r="F19" s="123"/>
      <c r="G19" s="124"/>
      <c r="H19" s="125"/>
      <c r="I19" s="122"/>
      <c r="J19" s="122"/>
      <c r="K19" s="122"/>
      <c r="L19" s="122"/>
      <c r="M19" s="122"/>
      <c r="N19" s="42">
        <f t="shared" si="1"/>
        <v>0</v>
      </c>
      <c r="R19" s="47"/>
      <c r="S19" s="32"/>
      <c r="T19" s="32"/>
      <c r="U19" s="32"/>
      <c r="V19" s="32"/>
      <c r="W19" s="32"/>
      <c r="Y19" s="47"/>
      <c r="Z19" s="31"/>
      <c r="AA19" s="31"/>
      <c r="AB19" s="31"/>
      <c r="AC19" s="31"/>
      <c r="AD19" s="31"/>
      <c r="AE19" s="42"/>
    </row>
    <row r="20">
      <c r="A20" s="125"/>
      <c r="B20" s="123"/>
      <c r="C20" s="123"/>
      <c r="D20" s="123"/>
      <c r="E20" s="123"/>
      <c r="F20" s="123"/>
      <c r="G20" s="124"/>
      <c r="H20" s="125"/>
      <c r="I20" s="122"/>
      <c r="J20" s="122"/>
      <c r="K20" s="122"/>
      <c r="L20" s="122"/>
      <c r="M20" s="122"/>
      <c r="N20" s="42">
        <f t="shared" si="1"/>
        <v>0</v>
      </c>
      <c r="R20" s="47"/>
      <c r="S20" s="32"/>
      <c r="T20" s="32"/>
      <c r="U20" s="32"/>
      <c r="V20" s="32"/>
      <c r="W20" s="32"/>
      <c r="Y20" s="47"/>
      <c r="Z20" s="31"/>
      <c r="AA20" s="31"/>
      <c r="AB20" s="31"/>
      <c r="AC20" s="31"/>
      <c r="AD20" s="31"/>
      <c r="AE20" s="42"/>
    </row>
    <row r="21" ht="15.75" customHeight="1">
      <c r="A21" s="125"/>
      <c r="B21" s="123"/>
      <c r="C21" s="123"/>
      <c r="D21" s="123"/>
      <c r="E21" s="123"/>
      <c r="F21" s="123"/>
      <c r="G21" s="124"/>
      <c r="H21" s="125"/>
      <c r="I21" s="122"/>
      <c r="J21" s="122"/>
      <c r="K21" s="122"/>
      <c r="L21" s="122"/>
      <c r="M21" s="122"/>
      <c r="N21" s="42">
        <f t="shared" si="1"/>
        <v>0</v>
      </c>
      <c r="R21" s="47"/>
      <c r="S21" s="32"/>
      <c r="T21" s="32"/>
      <c r="U21" s="32"/>
      <c r="V21" s="32"/>
      <c r="W21" s="32"/>
      <c r="Y21" s="47"/>
      <c r="Z21" s="31"/>
      <c r="AA21" s="31"/>
      <c r="AB21" s="31"/>
      <c r="AC21" s="31"/>
      <c r="AD21" s="31"/>
      <c r="AE21" s="42"/>
    </row>
    <row r="22" ht="15.75" customHeight="1">
      <c r="A22" s="125"/>
      <c r="B22" s="123"/>
      <c r="C22" s="123"/>
      <c r="D22" s="123"/>
      <c r="E22" s="123"/>
      <c r="F22" s="123"/>
      <c r="G22" s="124"/>
      <c r="H22" s="125"/>
      <c r="I22" s="122"/>
      <c r="J22" s="122"/>
      <c r="K22" s="122"/>
      <c r="L22" s="122"/>
      <c r="M22" s="122"/>
      <c r="N22" s="42">
        <f t="shared" si="1"/>
        <v>0</v>
      </c>
      <c r="R22" s="47"/>
      <c r="S22" s="32"/>
      <c r="T22" s="32"/>
      <c r="U22" s="32"/>
      <c r="V22" s="32"/>
      <c r="W22" s="32"/>
      <c r="Y22" s="47"/>
      <c r="Z22" s="31"/>
      <c r="AA22" s="31"/>
      <c r="AB22" s="31"/>
      <c r="AC22" s="31"/>
      <c r="AD22" s="31"/>
      <c r="AE22" s="42"/>
    </row>
    <row r="23" ht="15.75" customHeight="1">
      <c r="A23" s="125"/>
      <c r="B23" s="123"/>
      <c r="C23" s="123"/>
      <c r="D23" s="123"/>
      <c r="E23" s="123"/>
      <c r="F23" s="123"/>
      <c r="G23" s="124"/>
      <c r="H23" s="125"/>
      <c r="I23" s="122"/>
      <c r="J23" s="122"/>
      <c r="K23" s="122"/>
      <c r="L23" s="122"/>
      <c r="M23" s="122"/>
      <c r="N23" s="42">
        <f t="shared" si="1"/>
        <v>0</v>
      </c>
      <c r="R23" s="47"/>
      <c r="S23" s="32"/>
      <c r="T23" s="32"/>
      <c r="U23" s="32"/>
      <c r="V23" s="32"/>
      <c r="W23" s="32"/>
      <c r="Y23" s="47"/>
      <c r="Z23" s="31"/>
      <c r="AA23" s="31"/>
      <c r="AB23" s="31"/>
      <c r="AC23" s="31"/>
      <c r="AD23" s="31"/>
      <c r="AE23" s="42">
        <f t="shared" ref="AE23:AE33" si="2">SUM(Z23:AD23)</f>
        <v>0</v>
      </c>
    </row>
    <row r="24" ht="15.75" customHeight="1">
      <c r="A24" s="125"/>
      <c r="B24" s="123"/>
      <c r="C24" s="123"/>
      <c r="D24" s="123"/>
      <c r="E24" s="123"/>
      <c r="F24" s="123"/>
      <c r="G24" s="124"/>
      <c r="H24" s="125"/>
      <c r="I24" s="122"/>
      <c r="J24" s="122"/>
      <c r="K24" s="122"/>
      <c r="L24" s="122"/>
      <c r="M24" s="122"/>
      <c r="N24" s="42">
        <f t="shared" si="1"/>
        <v>0</v>
      </c>
      <c r="R24" s="47"/>
      <c r="S24" s="32"/>
      <c r="T24" s="32"/>
      <c r="U24" s="32"/>
      <c r="V24" s="32"/>
      <c r="W24" s="32"/>
      <c r="Y24" s="47"/>
      <c r="Z24" s="31"/>
      <c r="AA24" s="31"/>
      <c r="AB24" s="31"/>
      <c r="AC24" s="31"/>
      <c r="AD24" s="31"/>
      <c r="AE24" s="42">
        <f t="shared" si="2"/>
        <v>0</v>
      </c>
    </row>
    <row r="25" ht="15.75" customHeight="1">
      <c r="A25" s="125"/>
      <c r="B25" s="123"/>
      <c r="C25" s="123"/>
      <c r="D25" s="123"/>
      <c r="E25" s="123"/>
      <c r="F25" s="123"/>
      <c r="G25" s="124"/>
      <c r="H25" s="125"/>
      <c r="I25" s="122"/>
      <c r="J25" s="122"/>
      <c r="K25" s="122"/>
      <c r="L25" s="122"/>
      <c r="M25" s="122"/>
      <c r="N25" s="42">
        <f t="shared" si="1"/>
        <v>0</v>
      </c>
      <c r="R25" s="47"/>
      <c r="S25" s="32"/>
      <c r="T25" s="32"/>
      <c r="U25" s="32"/>
      <c r="V25" s="32"/>
      <c r="W25" s="32"/>
      <c r="Y25" s="47"/>
      <c r="Z25" s="31"/>
      <c r="AA25" s="31"/>
      <c r="AB25" s="31"/>
      <c r="AC25" s="31"/>
      <c r="AD25" s="31"/>
      <c r="AE25" s="42">
        <f t="shared" si="2"/>
        <v>0</v>
      </c>
    </row>
    <row r="26" ht="15.75" customHeight="1">
      <c r="A26" s="125"/>
      <c r="B26" s="123"/>
      <c r="C26" s="123"/>
      <c r="D26" s="123"/>
      <c r="E26" s="123"/>
      <c r="F26" s="123"/>
      <c r="G26" s="124"/>
      <c r="H26" s="125"/>
      <c r="I26" s="122"/>
      <c r="J26" s="122"/>
      <c r="K26" s="122"/>
      <c r="L26" s="122"/>
      <c r="M26" s="122"/>
      <c r="N26" s="42">
        <f t="shared" si="1"/>
        <v>0</v>
      </c>
      <c r="R26" s="47"/>
      <c r="S26" s="32"/>
      <c r="T26" s="32"/>
      <c r="U26" s="32"/>
      <c r="V26" s="32"/>
      <c r="W26" s="32"/>
      <c r="Y26" s="47"/>
      <c r="Z26" s="31"/>
      <c r="AA26" s="31"/>
      <c r="AB26" s="31"/>
      <c r="AC26" s="31"/>
      <c r="AD26" s="31"/>
      <c r="AE26" s="42">
        <f t="shared" si="2"/>
        <v>0</v>
      </c>
    </row>
    <row r="27" ht="15.75" customHeight="1">
      <c r="A27" s="125"/>
      <c r="B27" s="123"/>
      <c r="C27" s="123"/>
      <c r="D27" s="123"/>
      <c r="E27" s="123"/>
      <c r="F27" s="123"/>
      <c r="G27" s="124"/>
      <c r="H27" s="125"/>
      <c r="I27" s="122"/>
      <c r="J27" s="122"/>
      <c r="K27" s="122"/>
      <c r="L27" s="122"/>
      <c r="M27" s="122"/>
      <c r="N27" s="42">
        <f t="shared" si="1"/>
        <v>0</v>
      </c>
      <c r="R27" s="47"/>
      <c r="S27" s="32"/>
      <c r="T27" s="32"/>
      <c r="U27" s="32"/>
      <c r="V27" s="32"/>
      <c r="W27" s="32"/>
      <c r="Y27" s="47"/>
      <c r="Z27" s="31"/>
      <c r="AA27" s="31"/>
      <c r="AB27" s="31"/>
      <c r="AC27" s="31"/>
      <c r="AD27" s="31"/>
      <c r="AE27" s="42">
        <f t="shared" si="2"/>
        <v>0</v>
      </c>
    </row>
    <row r="28" ht="15.75" customHeight="1">
      <c r="A28" s="125"/>
      <c r="B28" s="123"/>
      <c r="C28" s="123"/>
      <c r="D28" s="123"/>
      <c r="E28" s="123"/>
      <c r="F28" s="123"/>
      <c r="G28" s="124"/>
      <c r="H28" s="125"/>
      <c r="I28" s="122"/>
      <c r="J28" s="122"/>
      <c r="K28" s="122"/>
      <c r="L28" s="122"/>
      <c r="M28" s="122"/>
      <c r="N28" s="42">
        <f t="shared" si="1"/>
        <v>0</v>
      </c>
      <c r="R28" s="47"/>
      <c r="S28" s="32"/>
      <c r="T28" s="32"/>
      <c r="U28" s="32"/>
      <c r="V28" s="32"/>
      <c r="W28" s="32"/>
      <c r="Y28" s="47"/>
      <c r="Z28" s="31"/>
      <c r="AA28" s="31"/>
      <c r="AB28" s="31"/>
      <c r="AC28" s="31"/>
      <c r="AD28" s="31"/>
      <c r="AE28" s="42">
        <f t="shared" si="2"/>
        <v>0</v>
      </c>
    </row>
    <row r="29" ht="15.75" customHeight="1">
      <c r="A29" s="125"/>
      <c r="B29" s="123"/>
      <c r="C29" s="123"/>
      <c r="D29" s="123"/>
      <c r="E29" s="123"/>
      <c r="F29" s="123"/>
      <c r="G29" s="124"/>
      <c r="H29" s="125"/>
      <c r="I29" s="122"/>
      <c r="J29" s="122"/>
      <c r="K29" s="122"/>
      <c r="L29" s="122"/>
      <c r="M29" s="122"/>
      <c r="N29" s="42">
        <f t="shared" si="1"/>
        <v>0</v>
      </c>
      <c r="R29" s="47"/>
      <c r="S29" s="32"/>
      <c r="T29" s="32"/>
      <c r="U29" s="32"/>
      <c r="V29" s="32"/>
      <c r="W29" s="32"/>
      <c r="Y29" s="47"/>
      <c r="Z29" s="31"/>
      <c r="AA29" s="31"/>
      <c r="AB29" s="31"/>
      <c r="AC29" s="31"/>
      <c r="AD29" s="31"/>
      <c r="AE29" s="42">
        <f t="shared" si="2"/>
        <v>0</v>
      </c>
    </row>
    <row r="30" ht="15.75" customHeight="1">
      <c r="A30" s="125"/>
      <c r="B30" s="123"/>
      <c r="C30" s="123"/>
      <c r="D30" s="123"/>
      <c r="E30" s="123"/>
      <c r="F30" s="123"/>
      <c r="G30" s="124"/>
      <c r="H30" s="125"/>
      <c r="I30" s="122"/>
      <c r="J30" s="122"/>
      <c r="K30" s="122"/>
      <c r="L30" s="122"/>
      <c r="M30" s="122"/>
      <c r="N30" s="42">
        <f t="shared" si="1"/>
        <v>0</v>
      </c>
      <c r="R30" s="47"/>
      <c r="S30" s="31"/>
      <c r="T30" s="32"/>
      <c r="U30" s="32"/>
      <c r="V30" s="32"/>
      <c r="W30" s="32"/>
      <c r="Y30" s="47"/>
      <c r="Z30" s="31"/>
      <c r="AA30" s="31"/>
      <c r="AB30" s="31"/>
      <c r="AC30" s="31"/>
      <c r="AD30" s="31"/>
      <c r="AE30" s="42">
        <f t="shared" si="2"/>
        <v>0</v>
      </c>
    </row>
    <row r="31" ht="15.75" customHeight="1">
      <c r="A31" s="125"/>
      <c r="B31" s="123"/>
      <c r="C31" s="123"/>
      <c r="D31" s="123"/>
      <c r="E31" s="123"/>
      <c r="F31" s="123"/>
      <c r="G31" s="124"/>
      <c r="H31" s="125"/>
      <c r="I31" s="122"/>
      <c r="J31" s="122"/>
      <c r="K31" s="122"/>
      <c r="L31" s="122"/>
      <c r="M31" s="122"/>
      <c r="N31" s="42">
        <f t="shared" si="1"/>
        <v>0</v>
      </c>
      <c r="R31" s="47"/>
      <c r="S31" s="32"/>
      <c r="T31" s="32"/>
      <c r="U31" s="32"/>
      <c r="V31" s="32"/>
      <c r="W31" s="32"/>
      <c r="Y31" s="47"/>
      <c r="Z31" s="31"/>
      <c r="AA31" s="31"/>
      <c r="AB31" s="31"/>
      <c r="AC31" s="31"/>
      <c r="AD31" s="31"/>
      <c r="AE31" s="42">
        <f t="shared" si="2"/>
        <v>0</v>
      </c>
    </row>
    <row r="32" ht="15.75" customHeight="1">
      <c r="A32" s="125"/>
      <c r="B32" s="123"/>
      <c r="C32" s="123"/>
      <c r="D32" s="123"/>
      <c r="E32" s="123"/>
      <c r="F32" s="123"/>
      <c r="G32" s="124"/>
      <c r="H32" s="125"/>
      <c r="I32" s="122"/>
      <c r="J32" s="122"/>
      <c r="K32" s="122"/>
      <c r="L32" s="122"/>
      <c r="M32" s="122"/>
      <c r="N32" s="42">
        <f t="shared" si="1"/>
        <v>0</v>
      </c>
      <c r="R32" s="47"/>
      <c r="S32" s="32"/>
      <c r="T32" s="32"/>
      <c r="U32" s="32"/>
      <c r="V32" s="32"/>
      <c r="W32" s="32"/>
      <c r="Y32" s="47"/>
      <c r="Z32" s="31"/>
      <c r="AA32" s="31"/>
      <c r="AB32" s="31"/>
      <c r="AC32" s="31"/>
      <c r="AD32" s="31"/>
      <c r="AE32" s="42">
        <f t="shared" si="2"/>
        <v>0</v>
      </c>
    </row>
    <row r="33" ht="15.75" customHeight="1">
      <c r="A33" s="125"/>
      <c r="B33" s="123"/>
      <c r="C33" s="123"/>
      <c r="D33" s="123"/>
      <c r="E33" s="123"/>
      <c r="F33" s="123"/>
      <c r="G33" s="124"/>
      <c r="H33" s="125"/>
      <c r="I33" s="122"/>
      <c r="J33" s="122"/>
      <c r="K33" s="122"/>
      <c r="L33" s="122"/>
      <c r="M33" s="122"/>
      <c r="N33" s="42">
        <f t="shared" si="1"/>
        <v>0</v>
      </c>
      <c r="R33" s="47"/>
      <c r="S33" s="32"/>
      <c r="T33" s="32"/>
      <c r="U33" s="32"/>
      <c r="V33" s="32"/>
      <c r="W33" s="32"/>
      <c r="Y33" s="47"/>
      <c r="Z33" s="31"/>
      <c r="AA33" s="31"/>
      <c r="AB33" s="31"/>
      <c r="AC33" s="31"/>
      <c r="AD33" s="31"/>
      <c r="AE33" s="42">
        <f t="shared" si="2"/>
        <v>0</v>
      </c>
      <c r="AJ33" s="129"/>
    </row>
    <row r="34" ht="15.75" customHeight="1">
      <c r="A34" s="125"/>
      <c r="B34" s="123"/>
      <c r="C34" s="123"/>
      <c r="D34" s="123"/>
      <c r="E34" s="123"/>
      <c r="F34" s="123"/>
      <c r="G34" s="124"/>
      <c r="H34" s="125"/>
      <c r="I34" s="122"/>
      <c r="J34" s="122"/>
      <c r="K34" s="122"/>
      <c r="L34" s="122"/>
      <c r="M34" s="122"/>
      <c r="N34" s="42">
        <f t="shared" si="1"/>
        <v>0</v>
      </c>
      <c r="R34" s="47"/>
      <c r="S34" s="32"/>
      <c r="T34" s="32"/>
      <c r="U34" s="32"/>
      <c r="V34" s="32"/>
      <c r="W34" s="32"/>
      <c r="Y34" s="58" t="s">
        <v>8</v>
      </c>
      <c r="Z34" s="59">
        <f>COUNT(Z5:AD33)</f>
        <v>0</v>
      </c>
      <c r="AA34" s="6"/>
      <c r="AC34" s="60" t="s">
        <v>3</v>
      </c>
      <c r="AD34" s="5"/>
      <c r="AE34" s="58">
        <f>SUM(AE5:AE33)</f>
        <v>0</v>
      </c>
      <c r="AJ34" s="129"/>
      <c r="AK34" s="129"/>
    </row>
    <row r="35" ht="15.75" customHeight="1">
      <c r="A35" s="125"/>
      <c r="B35" s="123"/>
      <c r="C35" s="123"/>
      <c r="D35" s="123"/>
      <c r="E35" s="123"/>
      <c r="F35" s="123"/>
      <c r="G35" s="124"/>
      <c r="H35" s="125"/>
      <c r="I35" s="122"/>
      <c r="J35" s="122"/>
      <c r="K35" s="122"/>
      <c r="L35" s="122"/>
      <c r="M35" s="122"/>
      <c r="N35" s="42">
        <f t="shared" si="1"/>
        <v>0</v>
      </c>
      <c r="R35" s="47"/>
      <c r="S35" s="32"/>
      <c r="T35" s="32"/>
      <c r="U35" s="32"/>
      <c r="V35" s="32"/>
      <c r="W35" s="32"/>
      <c r="AJ35" s="129"/>
      <c r="AK35" s="129"/>
    </row>
    <row r="36" ht="15.75" customHeight="1">
      <c r="A36" s="125"/>
      <c r="B36" s="123"/>
      <c r="C36" s="123"/>
      <c r="D36" s="123"/>
      <c r="E36" s="123"/>
      <c r="F36" s="123"/>
      <c r="G36" s="124"/>
      <c r="H36" s="125"/>
      <c r="I36" s="122"/>
      <c r="J36" s="122"/>
      <c r="K36" s="122"/>
      <c r="L36" s="122"/>
      <c r="M36" s="122"/>
      <c r="N36" s="42">
        <f t="shared" si="1"/>
        <v>0</v>
      </c>
      <c r="R36" s="47"/>
      <c r="S36" s="32"/>
      <c r="T36" s="32"/>
      <c r="U36" s="32"/>
      <c r="V36" s="32"/>
      <c r="W36" s="32"/>
      <c r="AJ36" s="129"/>
      <c r="AK36" s="129"/>
    </row>
    <row r="37" ht="15.75" customHeight="1">
      <c r="A37" s="125"/>
      <c r="B37" s="123"/>
      <c r="C37" s="123"/>
      <c r="D37" s="123"/>
      <c r="E37" s="123"/>
      <c r="F37" s="123"/>
      <c r="G37" s="124"/>
      <c r="H37" s="125"/>
      <c r="I37" s="122"/>
      <c r="J37" s="122"/>
      <c r="K37" s="122"/>
      <c r="L37" s="122"/>
      <c r="M37" s="122"/>
      <c r="N37" s="42">
        <f t="shared" si="1"/>
        <v>0</v>
      </c>
      <c r="R37" s="47"/>
      <c r="S37" s="32"/>
      <c r="T37" s="32"/>
      <c r="U37" s="32"/>
      <c r="V37" s="32"/>
      <c r="W37" s="32"/>
      <c r="AB37" s="130"/>
      <c r="AJ37" s="129"/>
      <c r="AK37" s="129"/>
    </row>
    <row r="38" ht="15.75" customHeight="1">
      <c r="A38" s="125"/>
      <c r="B38" s="123"/>
      <c r="C38" s="123"/>
      <c r="D38" s="123"/>
      <c r="E38" s="123"/>
      <c r="F38" s="123"/>
      <c r="G38" s="124"/>
      <c r="H38" s="125"/>
      <c r="I38" s="122"/>
      <c r="J38" s="122"/>
      <c r="K38" s="122"/>
      <c r="L38" s="122"/>
      <c r="M38" s="122"/>
      <c r="N38" s="42">
        <f t="shared" si="1"/>
        <v>0</v>
      </c>
      <c r="R38" s="47"/>
      <c r="S38" s="32"/>
      <c r="T38" s="32"/>
      <c r="U38" s="32"/>
      <c r="V38" s="32"/>
      <c r="W38" s="32"/>
      <c r="AJ38" s="129"/>
      <c r="AK38" s="129"/>
    </row>
    <row r="39" ht="15.75" customHeight="1">
      <c r="A39" s="121"/>
      <c r="B39" s="122"/>
      <c r="C39" s="123"/>
      <c r="D39" s="123"/>
      <c r="E39" s="123"/>
      <c r="F39" s="123"/>
      <c r="G39" s="124"/>
      <c r="H39" s="125"/>
      <c r="I39" s="122"/>
      <c r="J39" s="122"/>
      <c r="K39" s="122"/>
      <c r="L39" s="122"/>
      <c r="M39" s="122"/>
      <c r="N39" s="42">
        <f t="shared" si="1"/>
        <v>0</v>
      </c>
      <c r="R39" s="47"/>
      <c r="S39" s="32"/>
      <c r="T39" s="32"/>
      <c r="U39" s="32"/>
      <c r="V39" s="32"/>
      <c r="W39" s="32"/>
      <c r="Y39" s="62" t="s">
        <v>1</v>
      </c>
      <c r="Z39" s="12"/>
      <c r="AA39" s="12"/>
      <c r="AB39" s="12"/>
      <c r="AC39" s="12"/>
      <c r="AD39" s="12"/>
      <c r="AE39" s="13"/>
      <c r="AJ39" s="129"/>
      <c r="AK39" s="129"/>
    </row>
    <row r="40" ht="15.75" customHeight="1">
      <c r="A40" s="125"/>
      <c r="B40" s="123"/>
      <c r="C40" s="123"/>
      <c r="D40" s="123"/>
      <c r="E40" s="123"/>
      <c r="F40" s="123"/>
      <c r="G40" s="124"/>
      <c r="H40" s="125"/>
      <c r="I40" s="122"/>
      <c r="J40" s="122"/>
      <c r="K40" s="122"/>
      <c r="L40" s="122"/>
      <c r="M40" s="122"/>
      <c r="N40" s="42">
        <f t="shared" si="1"/>
        <v>0</v>
      </c>
      <c r="R40" s="47"/>
      <c r="S40" s="32"/>
      <c r="T40" s="32"/>
      <c r="U40" s="32"/>
      <c r="V40" s="32"/>
      <c r="W40" s="32"/>
      <c r="Y40" s="63"/>
      <c r="Z40" s="64"/>
      <c r="AA40" s="64"/>
      <c r="AB40" s="64"/>
      <c r="AC40" s="64"/>
      <c r="AD40" s="64"/>
      <c r="AE40" s="65"/>
      <c r="AJ40" s="129"/>
      <c r="AK40" s="129"/>
    </row>
    <row r="41" ht="15.75" customHeight="1">
      <c r="A41" s="125"/>
      <c r="B41" s="123"/>
      <c r="C41" s="123"/>
      <c r="D41" s="123"/>
      <c r="E41" s="123"/>
      <c r="F41" s="123"/>
      <c r="G41" s="124"/>
      <c r="H41" s="125"/>
      <c r="I41" s="122"/>
      <c r="J41" s="122"/>
      <c r="K41" s="122"/>
      <c r="L41" s="122"/>
      <c r="M41" s="122"/>
      <c r="N41" s="42">
        <f t="shared" si="1"/>
        <v>0</v>
      </c>
      <c r="R41" s="47"/>
      <c r="S41" s="32"/>
      <c r="T41" s="32"/>
      <c r="U41" s="32"/>
      <c r="V41" s="32"/>
      <c r="W41" s="32"/>
      <c r="Y41" s="61"/>
      <c r="Z41" s="61"/>
      <c r="AA41" s="61"/>
      <c r="AB41" s="61"/>
      <c r="AC41" s="61"/>
      <c r="AD41" s="61"/>
      <c r="AE41" s="61"/>
      <c r="AJ41" s="129"/>
      <c r="AK41" s="129"/>
    </row>
    <row r="42" ht="15.75" customHeight="1">
      <c r="A42" s="125"/>
      <c r="B42" s="123"/>
      <c r="C42" s="123"/>
      <c r="D42" s="123"/>
      <c r="E42" s="123"/>
      <c r="F42" s="123"/>
      <c r="G42" s="124"/>
      <c r="H42" s="125"/>
      <c r="I42" s="122"/>
      <c r="J42" s="122"/>
      <c r="K42" s="122"/>
      <c r="L42" s="122"/>
      <c r="M42" s="122"/>
      <c r="N42" s="42">
        <f t="shared" si="1"/>
        <v>0</v>
      </c>
      <c r="R42" s="47"/>
      <c r="S42" s="32"/>
      <c r="T42" s="32"/>
      <c r="U42" s="32"/>
      <c r="V42" s="32"/>
      <c r="W42" s="32"/>
      <c r="Y42" s="61"/>
      <c r="Z42" s="61"/>
      <c r="AA42" s="61"/>
      <c r="AB42" s="61"/>
      <c r="AC42" s="61"/>
      <c r="AD42" s="61"/>
      <c r="AE42" s="61"/>
      <c r="AJ42" s="129"/>
      <c r="AK42" s="129"/>
    </row>
    <row r="43" ht="15.75" customHeight="1">
      <c r="A43" s="125"/>
      <c r="B43" s="123"/>
      <c r="C43" s="123"/>
      <c r="D43" s="123"/>
      <c r="E43" s="123"/>
      <c r="F43" s="123"/>
      <c r="G43" s="124"/>
      <c r="H43" s="125"/>
      <c r="I43" s="122"/>
      <c r="J43" s="122"/>
      <c r="K43" s="122"/>
      <c r="L43" s="122"/>
      <c r="M43" s="122"/>
      <c r="N43" s="42">
        <f t="shared" si="1"/>
        <v>0</v>
      </c>
      <c r="R43" s="47"/>
      <c r="S43" s="32"/>
      <c r="T43" s="32"/>
      <c r="U43" s="32"/>
      <c r="V43" s="32"/>
      <c r="W43" s="32"/>
      <c r="Y43" s="58" t="s">
        <v>3</v>
      </c>
      <c r="Z43" s="60" t="s">
        <v>9</v>
      </c>
      <c r="AA43" s="5"/>
      <c r="AB43" s="6"/>
      <c r="AC43" s="60" t="s">
        <v>10</v>
      </c>
      <c r="AD43" s="5"/>
      <c r="AE43" s="6"/>
      <c r="AJ43" s="129"/>
      <c r="AK43" s="129"/>
    </row>
    <row r="44" ht="15.75" customHeight="1">
      <c r="A44" s="125"/>
      <c r="B44" s="123"/>
      <c r="C44" s="123"/>
      <c r="D44" s="123"/>
      <c r="E44" s="123"/>
      <c r="F44" s="123"/>
      <c r="G44" s="124"/>
      <c r="H44" s="125"/>
      <c r="I44" s="122"/>
      <c r="J44" s="122"/>
      <c r="K44" s="122"/>
      <c r="L44" s="122"/>
      <c r="M44" s="122"/>
      <c r="N44" s="42">
        <f t="shared" si="1"/>
        <v>0</v>
      </c>
      <c r="R44" s="47"/>
      <c r="S44" s="32"/>
      <c r="T44" s="32"/>
      <c r="U44" s="32"/>
      <c r="V44" s="32"/>
      <c r="W44" s="32"/>
      <c r="Y44" s="131">
        <f>SUM(S67,AE34)</f>
        <v>0</v>
      </c>
      <c r="Z44" s="132">
        <f>COUNT(W5:W65,Z5:AD33)</f>
        <v>0</v>
      </c>
      <c r="AA44" s="12"/>
      <c r="AB44" s="13"/>
      <c r="AC44" s="132">
        <f>SUM(W5:W65)+COUNT(Z5:AD33)</f>
        <v>0</v>
      </c>
      <c r="AD44" s="12"/>
      <c r="AE44" s="13"/>
      <c r="AJ44" s="129"/>
      <c r="AK44" s="129"/>
    </row>
    <row r="45" ht="15.75" customHeight="1">
      <c r="A45" s="125"/>
      <c r="B45" s="123"/>
      <c r="C45" s="123"/>
      <c r="D45" s="123"/>
      <c r="E45" s="123"/>
      <c r="F45" s="123"/>
      <c r="G45" s="124"/>
      <c r="H45" s="125"/>
      <c r="I45" s="122"/>
      <c r="J45" s="122"/>
      <c r="K45" s="122"/>
      <c r="L45" s="122"/>
      <c r="M45" s="122"/>
      <c r="N45" s="42">
        <f t="shared" si="1"/>
        <v>0</v>
      </c>
      <c r="R45" s="47"/>
      <c r="S45" s="32"/>
      <c r="T45" s="32"/>
      <c r="U45" s="32"/>
      <c r="V45" s="32"/>
      <c r="W45" s="32"/>
      <c r="Y45" s="69"/>
      <c r="Z45" s="63"/>
      <c r="AA45" s="64"/>
      <c r="AB45" s="65"/>
      <c r="AC45" s="63"/>
      <c r="AD45" s="64"/>
      <c r="AE45" s="65"/>
      <c r="AJ45" s="129"/>
      <c r="AK45" s="129"/>
    </row>
    <row r="46" ht="15.75" customHeight="1">
      <c r="A46" s="125"/>
      <c r="B46" s="123"/>
      <c r="C46" s="123"/>
      <c r="D46" s="123"/>
      <c r="E46" s="123"/>
      <c r="F46" s="123"/>
      <c r="G46" s="124"/>
      <c r="H46" s="125"/>
      <c r="I46" s="122"/>
      <c r="J46" s="122"/>
      <c r="K46" s="122"/>
      <c r="L46" s="122"/>
      <c r="M46" s="122"/>
      <c r="N46" s="42">
        <f t="shared" si="1"/>
        <v>0</v>
      </c>
      <c r="R46" s="47"/>
      <c r="S46" s="32"/>
      <c r="T46" s="32"/>
      <c r="U46" s="32"/>
      <c r="V46" s="32"/>
      <c r="W46" s="32"/>
      <c r="AC46" s="133" t="s">
        <v>18</v>
      </c>
      <c r="AD46" s="12"/>
      <c r="AE46" s="13"/>
      <c r="AJ46" s="129"/>
      <c r="AK46" s="129"/>
    </row>
    <row r="47" ht="15.75" customHeight="1">
      <c r="A47" s="125"/>
      <c r="B47" s="123"/>
      <c r="C47" s="123"/>
      <c r="D47" s="123"/>
      <c r="E47" s="123"/>
      <c r="F47" s="123"/>
      <c r="G47" s="124"/>
      <c r="H47" s="125"/>
      <c r="I47" s="122"/>
      <c r="J47" s="122"/>
      <c r="K47" s="122"/>
      <c r="L47" s="122"/>
      <c r="M47" s="122"/>
      <c r="N47" s="42">
        <f t="shared" si="1"/>
        <v>0</v>
      </c>
      <c r="R47" s="47"/>
      <c r="S47" s="32"/>
      <c r="T47" s="32"/>
      <c r="U47" s="32"/>
      <c r="V47" s="32"/>
      <c r="W47" s="32"/>
      <c r="AC47" s="63"/>
      <c r="AD47" s="64"/>
      <c r="AE47" s="65"/>
      <c r="AJ47" s="129"/>
      <c r="AK47" s="129"/>
    </row>
    <row r="48" ht="15.75" customHeight="1">
      <c r="A48" s="125"/>
      <c r="B48" s="123"/>
      <c r="C48" s="123"/>
      <c r="D48" s="123"/>
      <c r="E48" s="123"/>
      <c r="F48" s="123"/>
      <c r="G48" s="124"/>
      <c r="H48" s="125"/>
      <c r="I48" s="122"/>
      <c r="J48" s="122"/>
      <c r="K48" s="122"/>
      <c r="L48" s="122"/>
      <c r="M48" s="122"/>
      <c r="N48" s="42">
        <f t="shared" si="1"/>
        <v>0</v>
      </c>
      <c r="R48" s="47"/>
      <c r="S48" s="32"/>
      <c r="T48" s="32"/>
      <c r="U48" s="32"/>
      <c r="V48" s="32"/>
      <c r="W48" s="32"/>
      <c r="AC48" s="134">
        <f>ROUNDUP(SUM(W5:W65)/3+COUNT(Z5:AD33)/2,0)</f>
        <v>0</v>
      </c>
      <c r="AD48" s="12"/>
      <c r="AE48" s="13"/>
      <c r="AJ48" s="129"/>
      <c r="AK48" s="129"/>
    </row>
    <row r="49" ht="15.75" customHeight="1">
      <c r="A49" s="125"/>
      <c r="B49" s="123"/>
      <c r="C49" s="123"/>
      <c r="D49" s="123"/>
      <c r="E49" s="123"/>
      <c r="F49" s="123"/>
      <c r="G49" s="124"/>
      <c r="H49" s="125"/>
      <c r="I49" s="122"/>
      <c r="J49" s="122"/>
      <c r="K49" s="122"/>
      <c r="L49" s="122"/>
      <c r="M49" s="122"/>
      <c r="N49" s="42">
        <f t="shared" si="1"/>
        <v>0</v>
      </c>
      <c r="R49" s="47"/>
      <c r="S49" s="32"/>
      <c r="T49" s="32"/>
      <c r="U49" s="32"/>
      <c r="V49" s="32"/>
      <c r="W49" s="32"/>
      <c r="AC49" s="63"/>
      <c r="AD49" s="64"/>
      <c r="AE49" s="65"/>
      <c r="AJ49" s="129"/>
      <c r="AK49" s="129"/>
    </row>
    <row r="50" ht="15.75" customHeight="1">
      <c r="A50" s="125"/>
      <c r="B50" s="123"/>
      <c r="C50" s="123"/>
      <c r="D50" s="123"/>
      <c r="E50" s="123"/>
      <c r="F50" s="123"/>
      <c r="G50" s="124"/>
      <c r="H50" s="125"/>
      <c r="I50" s="122"/>
      <c r="J50" s="122"/>
      <c r="K50" s="122"/>
      <c r="L50" s="122"/>
      <c r="M50" s="122"/>
      <c r="N50" s="42">
        <f t="shared" si="1"/>
        <v>0</v>
      </c>
      <c r="R50" s="47"/>
      <c r="S50" s="32"/>
      <c r="T50" s="32"/>
      <c r="U50" s="32"/>
      <c r="V50" s="32"/>
      <c r="W50" s="32"/>
      <c r="AJ50" s="129"/>
      <c r="AK50" s="129"/>
    </row>
    <row r="51" ht="15.75" customHeight="1">
      <c r="A51" s="47"/>
      <c r="B51" s="32"/>
      <c r="C51" s="32"/>
      <c r="D51" s="32"/>
      <c r="E51" s="32"/>
      <c r="F51" s="32"/>
      <c r="H51" s="47"/>
      <c r="I51" s="31"/>
      <c r="J51" s="31"/>
      <c r="K51" s="31"/>
      <c r="L51" s="31"/>
      <c r="M51" s="31"/>
      <c r="N51" s="42">
        <f t="shared" si="1"/>
        <v>0</v>
      </c>
      <c r="R51" s="47"/>
      <c r="S51" s="32"/>
      <c r="T51" s="32"/>
      <c r="U51" s="32"/>
      <c r="V51" s="32"/>
      <c r="W51" s="32"/>
      <c r="AJ51" s="129"/>
      <c r="AK51" s="129"/>
    </row>
    <row r="52" ht="15.75" customHeight="1">
      <c r="A52" s="47"/>
      <c r="B52" s="32"/>
      <c r="C52" s="32"/>
      <c r="D52" s="32"/>
      <c r="E52" s="32"/>
      <c r="F52" s="32"/>
      <c r="H52" s="47"/>
      <c r="I52" s="31"/>
      <c r="J52" s="31"/>
      <c r="K52" s="31"/>
      <c r="L52" s="31"/>
      <c r="M52" s="31"/>
      <c r="N52" s="42">
        <f t="shared" si="1"/>
        <v>0</v>
      </c>
      <c r="R52" s="47"/>
      <c r="S52" s="32"/>
      <c r="T52" s="32"/>
      <c r="U52" s="32"/>
      <c r="V52" s="32"/>
      <c r="W52" s="32"/>
      <c r="AJ52" s="129"/>
      <c r="AK52" s="129"/>
    </row>
    <row r="53" ht="15.75" customHeight="1">
      <c r="A53" s="47"/>
      <c r="B53" s="32"/>
      <c r="C53" s="32"/>
      <c r="D53" s="32"/>
      <c r="E53" s="32"/>
      <c r="F53" s="32"/>
      <c r="H53" s="47"/>
      <c r="I53" s="31"/>
      <c r="J53" s="31"/>
      <c r="K53" s="31"/>
      <c r="L53" s="31"/>
      <c r="M53" s="31"/>
      <c r="N53" s="42">
        <f t="shared" si="1"/>
        <v>0</v>
      </c>
      <c r="R53" s="47"/>
      <c r="S53" s="32"/>
      <c r="T53" s="32"/>
      <c r="U53" s="32"/>
      <c r="V53" s="32"/>
      <c r="W53" s="32"/>
      <c r="AJ53" s="129"/>
      <c r="AK53" s="129"/>
    </row>
    <row r="54" ht="15.75" customHeight="1">
      <c r="A54" s="47"/>
      <c r="B54" s="32"/>
      <c r="C54" s="32"/>
      <c r="D54" s="32"/>
      <c r="E54" s="32"/>
      <c r="F54" s="32"/>
      <c r="H54" s="47"/>
      <c r="I54" s="31"/>
      <c r="J54" s="31"/>
      <c r="K54" s="31"/>
      <c r="L54" s="31"/>
      <c r="M54" s="31"/>
      <c r="N54" s="42">
        <f t="shared" si="1"/>
        <v>0</v>
      </c>
      <c r="R54" s="47"/>
      <c r="S54" s="32"/>
      <c r="T54" s="32"/>
      <c r="U54" s="32"/>
      <c r="V54" s="32"/>
      <c r="W54" s="32"/>
    </row>
    <row r="55" ht="15.75" customHeight="1">
      <c r="A55" s="47"/>
      <c r="B55" s="32"/>
      <c r="C55" s="32"/>
      <c r="D55" s="32"/>
      <c r="E55" s="32"/>
      <c r="F55" s="32"/>
      <c r="H55" s="47"/>
      <c r="I55" s="31"/>
      <c r="J55" s="31"/>
      <c r="K55" s="31"/>
      <c r="L55" s="31"/>
      <c r="M55" s="31"/>
      <c r="N55" s="42">
        <f t="shared" si="1"/>
        <v>0</v>
      </c>
      <c r="R55" s="47"/>
      <c r="S55" s="32"/>
      <c r="T55" s="32"/>
      <c r="U55" s="32"/>
      <c r="V55" s="32"/>
      <c r="W55" s="32"/>
    </row>
    <row r="56" ht="15.75" customHeight="1">
      <c r="A56" s="47"/>
      <c r="B56" s="32"/>
      <c r="C56" s="32"/>
      <c r="D56" s="32"/>
      <c r="E56" s="32"/>
      <c r="F56" s="32"/>
      <c r="H56" s="47"/>
      <c r="I56" s="31"/>
      <c r="J56" s="31"/>
      <c r="K56" s="31"/>
      <c r="L56" s="31"/>
      <c r="M56" s="31"/>
      <c r="N56" s="42">
        <f t="shared" si="1"/>
        <v>0</v>
      </c>
      <c r="R56" s="47"/>
      <c r="S56" s="32"/>
      <c r="T56" s="32"/>
      <c r="U56" s="32"/>
      <c r="V56" s="32"/>
      <c r="W56" s="32"/>
    </row>
    <row r="57" ht="15.75" customHeight="1">
      <c r="A57" s="47"/>
      <c r="B57" s="32"/>
      <c r="C57" s="32"/>
      <c r="D57" s="32"/>
      <c r="E57" s="32"/>
      <c r="F57" s="32"/>
      <c r="H57" s="47"/>
      <c r="I57" s="31"/>
      <c r="J57" s="31"/>
      <c r="K57" s="31"/>
      <c r="L57" s="31"/>
      <c r="M57" s="31"/>
      <c r="N57" s="42">
        <f t="shared" si="1"/>
        <v>0</v>
      </c>
      <c r="R57" s="47"/>
      <c r="S57" s="32"/>
      <c r="T57" s="32"/>
      <c r="U57" s="32"/>
      <c r="V57" s="32"/>
      <c r="W57" s="32"/>
    </row>
    <row r="58" ht="15.75" customHeight="1">
      <c r="A58" s="47"/>
      <c r="B58" s="32"/>
      <c r="C58" s="32"/>
      <c r="D58" s="32"/>
      <c r="E58" s="32"/>
      <c r="F58" s="32"/>
      <c r="H58" s="47"/>
      <c r="I58" s="31"/>
      <c r="J58" s="31"/>
      <c r="K58" s="31"/>
      <c r="L58" s="31"/>
      <c r="M58" s="31"/>
      <c r="N58" s="42">
        <f t="shared" si="1"/>
        <v>0</v>
      </c>
      <c r="R58" s="47"/>
      <c r="S58" s="32"/>
      <c r="T58" s="32"/>
      <c r="U58" s="32"/>
      <c r="V58" s="32"/>
      <c r="W58" s="32"/>
    </row>
    <row r="59" ht="15.75" customHeight="1">
      <c r="A59" s="47"/>
      <c r="B59" s="32"/>
      <c r="C59" s="32"/>
      <c r="D59" s="32"/>
      <c r="E59" s="32"/>
      <c r="F59" s="32"/>
      <c r="H59" s="58" t="s">
        <v>8</v>
      </c>
      <c r="I59" s="59">
        <f>COUNT(I5:M58)</f>
        <v>0</v>
      </c>
      <c r="J59" s="6"/>
      <c r="L59" s="60" t="s">
        <v>3</v>
      </c>
      <c r="M59" s="5"/>
      <c r="N59" s="58">
        <f>SUM(N5:N58)</f>
        <v>0</v>
      </c>
      <c r="R59" s="47"/>
      <c r="S59" s="32"/>
      <c r="T59" s="32"/>
      <c r="U59" s="32"/>
      <c r="V59" s="32"/>
      <c r="W59" s="32"/>
    </row>
    <row r="60" ht="15.75" customHeight="1">
      <c r="A60" s="47"/>
      <c r="B60" s="32"/>
      <c r="C60" s="32"/>
      <c r="D60" s="32"/>
      <c r="E60" s="32"/>
      <c r="F60" s="32"/>
      <c r="R60" s="47"/>
      <c r="S60" s="32"/>
      <c r="T60" s="32"/>
      <c r="U60" s="32"/>
      <c r="V60" s="32"/>
      <c r="W60" s="32"/>
    </row>
    <row r="61" ht="15.75" customHeight="1">
      <c r="A61" s="47"/>
      <c r="B61" s="32"/>
      <c r="C61" s="32"/>
      <c r="D61" s="32"/>
      <c r="E61" s="32"/>
      <c r="F61" s="32"/>
      <c r="H61" s="11" t="s">
        <v>1</v>
      </c>
      <c r="I61" s="12"/>
      <c r="J61" s="12"/>
      <c r="K61" s="12"/>
      <c r="L61" s="12"/>
      <c r="M61" s="12"/>
      <c r="N61" s="13"/>
      <c r="R61" s="47"/>
      <c r="S61" s="32"/>
      <c r="T61" s="32"/>
      <c r="U61" s="32"/>
      <c r="V61" s="32"/>
      <c r="W61" s="32"/>
    </row>
    <row r="62" ht="15.75" customHeight="1">
      <c r="A62" s="47"/>
      <c r="B62" s="32"/>
      <c r="C62" s="32"/>
      <c r="D62" s="32"/>
      <c r="E62" s="32"/>
      <c r="F62" s="32"/>
      <c r="H62" s="63"/>
      <c r="I62" s="64"/>
      <c r="J62" s="64"/>
      <c r="K62" s="64"/>
      <c r="L62" s="64"/>
      <c r="M62" s="64"/>
      <c r="N62" s="65"/>
      <c r="R62" s="135"/>
      <c r="S62" s="136"/>
      <c r="T62" s="136"/>
      <c r="U62" s="136"/>
      <c r="V62" s="136"/>
      <c r="W62" s="136"/>
    </row>
    <row r="63" ht="15.75" customHeight="1">
      <c r="A63" s="47"/>
      <c r="B63" s="32"/>
      <c r="C63" s="32"/>
      <c r="D63" s="32"/>
      <c r="E63" s="32"/>
      <c r="F63" s="32"/>
      <c r="H63" s="58" t="s">
        <v>3</v>
      </c>
      <c r="I63" s="60" t="s">
        <v>9</v>
      </c>
      <c r="J63" s="5"/>
      <c r="K63" s="6"/>
      <c r="L63" s="60" t="s">
        <v>10</v>
      </c>
      <c r="M63" s="5"/>
      <c r="N63" s="6"/>
      <c r="R63" s="135"/>
      <c r="S63" s="136"/>
      <c r="T63" s="136"/>
      <c r="U63" s="136"/>
      <c r="V63" s="136"/>
      <c r="W63" s="136"/>
    </row>
    <row r="64" ht="15.75" customHeight="1">
      <c r="A64" s="47"/>
      <c r="B64" s="32"/>
      <c r="C64" s="32"/>
      <c r="D64" s="32"/>
      <c r="E64" s="32"/>
      <c r="F64" s="32"/>
      <c r="H64" s="137">
        <f>SUM(B68,N59)</f>
        <v>0</v>
      </c>
      <c r="I64" s="132">
        <f>COUNT(F5:F66,I5:M58)</f>
        <v>0</v>
      </c>
      <c r="J64" s="12"/>
      <c r="K64" s="13"/>
      <c r="L64" s="132">
        <f>SUM(F5:F66)+COUNT(I5:M58)</f>
        <v>0</v>
      </c>
      <c r="M64" s="12"/>
      <c r="N64" s="13"/>
      <c r="R64" s="135"/>
      <c r="S64" s="136"/>
      <c r="T64" s="136"/>
      <c r="U64" s="136"/>
      <c r="V64" s="136"/>
      <c r="W64" s="136"/>
    </row>
    <row r="65" ht="15.75" customHeight="1">
      <c r="A65" s="47"/>
      <c r="B65" s="32"/>
      <c r="C65" s="32"/>
      <c r="D65" s="32"/>
      <c r="E65" s="32"/>
      <c r="F65" s="32"/>
      <c r="H65" s="69"/>
      <c r="I65" s="63"/>
      <c r="J65" s="64"/>
      <c r="K65" s="65"/>
      <c r="L65" s="63"/>
      <c r="M65" s="64"/>
      <c r="N65" s="65"/>
      <c r="R65" s="135"/>
      <c r="S65" s="136"/>
      <c r="T65" s="136"/>
      <c r="U65" s="136"/>
      <c r="V65" s="136"/>
      <c r="W65" s="136"/>
    </row>
    <row r="66" ht="15.75" customHeight="1">
      <c r="A66" s="47"/>
      <c r="B66" s="32"/>
      <c r="C66" s="32"/>
      <c r="D66" s="32"/>
      <c r="E66" s="32"/>
      <c r="F66" s="32"/>
      <c r="L66" s="138" t="s">
        <v>18</v>
      </c>
      <c r="M66" s="12"/>
      <c r="N66" s="13"/>
      <c r="R66" s="60" t="s">
        <v>1</v>
      </c>
      <c r="S66" s="5"/>
      <c r="T66" s="5"/>
      <c r="U66" s="5"/>
      <c r="V66" s="5"/>
      <c r="W66" s="5"/>
    </row>
    <row r="67" ht="15.75" customHeight="1">
      <c r="A67" s="60" t="s">
        <v>1</v>
      </c>
      <c r="B67" s="5"/>
      <c r="C67" s="5"/>
      <c r="D67" s="5"/>
      <c r="E67" s="5"/>
      <c r="F67" s="5"/>
      <c r="L67" s="63"/>
      <c r="M67" s="64"/>
      <c r="N67" s="65"/>
      <c r="R67" s="60"/>
      <c r="S67" s="67">
        <f>SUM(S5:S65)</f>
        <v>0</v>
      </c>
      <c r="T67" s="68" t="s">
        <v>11</v>
      </c>
      <c r="U67" s="68"/>
      <c r="V67" s="68"/>
      <c r="W67" s="67">
        <f>SUM(W5:W65)</f>
        <v>0</v>
      </c>
    </row>
    <row r="68" ht="15.75" customHeight="1">
      <c r="A68" s="60"/>
      <c r="B68" s="67">
        <f>SUM(B5:B66)</f>
        <v>0</v>
      </c>
      <c r="C68" s="68" t="s">
        <v>11</v>
      </c>
      <c r="D68" s="68"/>
      <c r="E68" s="68"/>
      <c r="F68" s="67">
        <f>SUM(F5:F66)</f>
        <v>0</v>
      </c>
      <c r="L68" s="139">
        <f>ROUNDUP(SUM(F5:F66)/3+COUNT(I5:M58)/2,0)</f>
        <v>0</v>
      </c>
      <c r="M68" s="12"/>
      <c r="N68" s="13"/>
    </row>
    <row r="69" ht="15.75" customHeight="1">
      <c r="L69" s="63"/>
      <c r="M69" s="64"/>
      <c r="N69" s="65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J3:N3"/>
    <mergeCell ref="AA3:AE3"/>
    <mergeCell ref="AI5:AK7"/>
    <mergeCell ref="AI8:AJ9"/>
    <mergeCell ref="AK8:AK9"/>
    <mergeCell ref="AI10:AJ11"/>
    <mergeCell ref="AK10:AK11"/>
    <mergeCell ref="AI12:AJ13"/>
    <mergeCell ref="AK12:AK13"/>
    <mergeCell ref="AI14:AJ15"/>
    <mergeCell ref="AK14:AK15"/>
    <mergeCell ref="Z34:AA34"/>
    <mergeCell ref="AC34:AD34"/>
    <mergeCell ref="Y39:AE40"/>
    <mergeCell ref="Z43:AB43"/>
    <mergeCell ref="AC43:AE43"/>
    <mergeCell ref="Y44:Y45"/>
    <mergeCell ref="Z44:AB45"/>
    <mergeCell ref="AC44:AE45"/>
    <mergeCell ref="AC46:AE47"/>
    <mergeCell ref="AC48:AE49"/>
    <mergeCell ref="L64:N65"/>
    <mergeCell ref="L66:N67"/>
    <mergeCell ref="R66:W66"/>
    <mergeCell ref="A67:F67"/>
    <mergeCell ref="I59:J59"/>
    <mergeCell ref="L59:M59"/>
    <mergeCell ref="H61:N62"/>
    <mergeCell ref="I63:K63"/>
    <mergeCell ref="L63:N63"/>
    <mergeCell ref="H64:H65"/>
    <mergeCell ref="I64:K65"/>
    <mergeCell ref="L68:N69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0.86"/>
    <col customWidth="1" min="3" max="5" width="8.71"/>
    <col customWidth="1" min="6" max="6" width="6.71"/>
    <col customWidth="1" min="7" max="7" width="5.71"/>
    <col customWidth="1" min="8" max="8" width="13.71"/>
    <col customWidth="1" min="9" max="10" width="7.29"/>
    <col customWidth="1" min="11" max="11" width="6.43"/>
    <col customWidth="1" min="12" max="13" width="5.71"/>
    <col customWidth="1" min="14" max="14" width="6.29"/>
    <col customWidth="1" min="15" max="17" width="8.71"/>
    <col customWidth="1" min="18" max="18" width="12.86"/>
    <col customWidth="1" min="19" max="19" width="10.57"/>
    <col customWidth="1" min="20" max="25" width="8.71"/>
    <col customWidth="1" min="26" max="30" width="5.71"/>
    <col customWidth="1" min="31" max="37" width="8.71"/>
  </cols>
  <sheetData>
    <row r="3">
      <c r="A3" s="71" t="s">
        <v>19</v>
      </c>
      <c r="B3" s="72"/>
      <c r="C3" s="72"/>
      <c r="D3" s="73"/>
      <c r="E3" s="73"/>
      <c r="F3" s="73"/>
      <c r="G3" s="72"/>
      <c r="H3" s="72"/>
      <c r="I3" s="72"/>
      <c r="J3" s="120">
        <f>TODAY()</f>
        <v>46173</v>
      </c>
      <c r="K3" s="5"/>
      <c r="L3" s="5"/>
      <c r="M3" s="5"/>
      <c r="N3" s="6"/>
      <c r="R3" s="71"/>
      <c r="S3" s="72"/>
      <c r="T3" s="72"/>
      <c r="U3" s="73"/>
      <c r="V3" s="73"/>
      <c r="W3" s="73"/>
      <c r="X3" s="72"/>
      <c r="Y3" s="72"/>
      <c r="Z3" s="72"/>
      <c r="AA3" s="120"/>
      <c r="AB3" s="5"/>
      <c r="AC3" s="5"/>
      <c r="AD3" s="5"/>
      <c r="AE3" s="6"/>
    </row>
    <row r="4">
      <c r="A4" s="15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7" t="s">
        <v>7</v>
      </c>
      <c r="H4" s="18" t="s">
        <v>2</v>
      </c>
      <c r="I4" s="19"/>
      <c r="J4" s="19"/>
      <c r="K4" s="19"/>
      <c r="L4" s="19"/>
      <c r="M4" s="19"/>
      <c r="N4" s="20" t="s">
        <v>3</v>
      </c>
      <c r="R4" s="15" t="s">
        <v>2</v>
      </c>
      <c r="S4" s="16" t="s">
        <v>3</v>
      </c>
      <c r="T4" s="16" t="s">
        <v>4</v>
      </c>
      <c r="U4" s="16" t="s">
        <v>5</v>
      </c>
      <c r="V4" s="16" t="s">
        <v>6</v>
      </c>
      <c r="W4" s="17" t="s">
        <v>7</v>
      </c>
      <c r="Y4" s="18" t="s">
        <v>2</v>
      </c>
      <c r="Z4" s="19"/>
      <c r="AA4" s="19"/>
      <c r="AB4" s="19"/>
      <c r="AC4" s="19"/>
      <c r="AD4" s="19"/>
      <c r="AE4" s="20" t="s">
        <v>3</v>
      </c>
    </row>
    <row r="5">
      <c r="A5" s="30"/>
      <c r="B5" s="31"/>
      <c r="C5" s="31"/>
      <c r="D5" s="31"/>
      <c r="E5" s="31"/>
      <c r="F5" s="32"/>
      <c r="H5" s="47"/>
      <c r="I5" s="31"/>
      <c r="J5" s="31"/>
      <c r="K5" s="31"/>
      <c r="L5" s="31"/>
      <c r="M5" s="31"/>
      <c r="N5" s="35">
        <f t="shared" ref="N5:N36" si="1">SUM(I5:M5)</f>
        <v>0</v>
      </c>
      <c r="R5" s="47"/>
      <c r="S5" s="32"/>
      <c r="T5" s="32"/>
      <c r="U5" s="32"/>
      <c r="V5" s="32"/>
      <c r="W5" s="32"/>
      <c r="Y5" s="47"/>
      <c r="Z5" s="31"/>
      <c r="AA5" s="31"/>
      <c r="AB5" s="31"/>
      <c r="AC5" s="31"/>
      <c r="AD5" s="31"/>
      <c r="AE5" s="35">
        <f t="shared" ref="AE5:AE33" si="2">SUM(Z5:AD5)</f>
        <v>0</v>
      </c>
      <c r="AI5" s="11" t="s">
        <v>1</v>
      </c>
      <c r="AJ5" s="12"/>
      <c r="AK5" s="13"/>
    </row>
    <row r="6">
      <c r="A6" s="30"/>
      <c r="B6" s="31"/>
      <c r="C6" s="32"/>
      <c r="D6" s="32"/>
      <c r="E6" s="32"/>
      <c r="F6" s="32"/>
      <c r="H6" s="47"/>
      <c r="I6" s="31"/>
      <c r="J6" s="31"/>
      <c r="K6" s="31"/>
      <c r="L6" s="31"/>
      <c r="M6" s="31"/>
      <c r="N6" s="42">
        <f t="shared" si="1"/>
        <v>0</v>
      </c>
      <c r="R6" s="47"/>
      <c r="S6" s="32"/>
      <c r="T6" s="32"/>
      <c r="U6" s="32"/>
      <c r="V6" s="32"/>
      <c r="W6" s="32"/>
      <c r="Y6" s="47"/>
      <c r="Z6" s="31"/>
      <c r="AA6" s="31"/>
      <c r="AB6" s="31"/>
      <c r="AC6" s="31"/>
      <c r="AD6" s="31"/>
      <c r="AE6" s="42">
        <f t="shared" si="2"/>
        <v>0</v>
      </c>
      <c r="AI6" s="28"/>
      <c r="AK6" s="29"/>
    </row>
    <row r="7">
      <c r="A7" s="47"/>
      <c r="B7" s="32"/>
      <c r="C7" s="32"/>
      <c r="D7" s="32"/>
      <c r="E7" s="32"/>
      <c r="F7" s="32"/>
      <c r="H7" s="47"/>
      <c r="I7" s="31"/>
      <c r="J7" s="31"/>
      <c r="K7" s="31"/>
      <c r="L7" s="31"/>
      <c r="M7" s="31"/>
      <c r="N7" s="42">
        <f t="shared" si="1"/>
        <v>0</v>
      </c>
      <c r="R7" s="47"/>
      <c r="S7" s="32"/>
      <c r="T7" s="32"/>
      <c r="U7" s="32"/>
      <c r="V7" s="32"/>
      <c r="W7" s="32"/>
      <c r="Y7" s="47"/>
      <c r="Z7" s="31"/>
      <c r="AA7" s="31"/>
      <c r="AB7" s="31"/>
      <c r="AC7" s="31"/>
      <c r="AD7" s="31"/>
      <c r="AE7" s="42">
        <f t="shared" si="2"/>
        <v>0</v>
      </c>
      <c r="AI7" s="63"/>
      <c r="AJ7" s="64"/>
      <c r="AK7" s="65"/>
    </row>
    <row r="8">
      <c r="A8" s="47"/>
      <c r="B8" s="32"/>
      <c r="C8" s="32"/>
      <c r="D8" s="32"/>
      <c r="E8" s="32"/>
      <c r="F8" s="32"/>
      <c r="H8" s="47"/>
      <c r="I8" s="31"/>
      <c r="J8" s="31"/>
      <c r="K8" s="31"/>
      <c r="L8" s="31"/>
      <c r="M8" s="31"/>
      <c r="N8" s="42">
        <f t="shared" si="1"/>
        <v>0</v>
      </c>
      <c r="R8" s="47"/>
      <c r="S8" s="32"/>
      <c r="T8" s="32"/>
      <c r="U8" s="32"/>
      <c r="V8" s="32"/>
      <c r="W8" s="32"/>
      <c r="Y8" s="47"/>
      <c r="Z8" s="31"/>
      <c r="AA8" s="31"/>
      <c r="AB8" s="31"/>
      <c r="AC8" s="31"/>
      <c r="AD8" s="31"/>
      <c r="AE8" s="42">
        <f t="shared" si="2"/>
        <v>0</v>
      </c>
      <c r="AI8" s="11">
        <f>SUM(I42,Z44)</f>
        <v>0</v>
      </c>
      <c r="AJ8" s="13"/>
      <c r="AK8" s="126" t="s">
        <v>15</v>
      </c>
    </row>
    <row r="9">
      <c r="A9" s="47"/>
      <c r="B9" s="32"/>
      <c r="C9" s="32"/>
      <c r="D9" s="32"/>
      <c r="E9" s="32"/>
      <c r="F9" s="32"/>
      <c r="H9" s="47"/>
      <c r="I9" s="31"/>
      <c r="J9" s="31"/>
      <c r="K9" s="31"/>
      <c r="L9" s="31"/>
      <c r="M9" s="31"/>
      <c r="N9" s="42">
        <f t="shared" si="1"/>
        <v>0</v>
      </c>
      <c r="R9" s="47"/>
      <c r="S9" s="32"/>
      <c r="T9" s="32"/>
      <c r="U9" s="32"/>
      <c r="V9" s="32"/>
      <c r="W9" s="32"/>
      <c r="Y9" s="47"/>
      <c r="Z9" s="31"/>
      <c r="AA9" s="31"/>
      <c r="AB9" s="31"/>
      <c r="AC9" s="31"/>
      <c r="AD9" s="31"/>
      <c r="AE9" s="42">
        <f t="shared" si="2"/>
        <v>0</v>
      </c>
      <c r="AI9" s="63"/>
      <c r="AJ9" s="65"/>
      <c r="AK9" s="69"/>
    </row>
    <row r="10">
      <c r="A10" s="47"/>
      <c r="B10" s="32"/>
      <c r="C10" s="32"/>
      <c r="D10" s="32"/>
      <c r="E10" s="32"/>
      <c r="F10" s="32"/>
      <c r="H10" s="47"/>
      <c r="I10" s="31"/>
      <c r="J10" s="31"/>
      <c r="K10" s="31"/>
      <c r="L10" s="31"/>
      <c r="M10" s="31"/>
      <c r="N10" s="42">
        <f t="shared" si="1"/>
        <v>0</v>
      </c>
      <c r="R10" s="47"/>
      <c r="S10" s="32"/>
      <c r="T10" s="32"/>
      <c r="U10" s="32"/>
      <c r="V10" s="32"/>
      <c r="W10" s="32"/>
      <c r="Y10" s="47"/>
      <c r="Z10" s="31"/>
      <c r="AA10" s="31"/>
      <c r="AB10" s="31"/>
      <c r="AC10" s="31"/>
      <c r="AD10" s="31"/>
      <c r="AE10" s="42">
        <f t="shared" si="2"/>
        <v>0</v>
      </c>
      <c r="AI10" s="11">
        <f>SUM(L42,AC44)</f>
        <v>0</v>
      </c>
      <c r="AJ10" s="13"/>
      <c r="AK10" s="126" t="s">
        <v>16</v>
      </c>
    </row>
    <row r="11">
      <c r="A11" s="47"/>
      <c r="B11" s="32"/>
      <c r="C11" s="32"/>
      <c r="D11" s="32"/>
      <c r="E11" s="32"/>
      <c r="F11" s="32"/>
      <c r="H11" s="47"/>
      <c r="I11" s="31"/>
      <c r="J11" s="31"/>
      <c r="K11" s="31"/>
      <c r="L11" s="31"/>
      <c r="M11" s="31"/>
      <c r="N11" s="42">
        <f t="shared" si="1"/>
        <v>0</v>
      </c>
      <c r="R11" s="47"/>
      <c r="S11" s="32"/>
      <c r="T11" s="32"/>
      <c r="U11" s="32"/>
      <c r="V11" s="32"/>
      <c r="W11" s="32"/>
      <c r="Y11" s="47"/>
      <c r="Z11" s="31"/>
      <c r="AA11" s="31"/>
      <c r="AB11" s="31"/>
      <c r="AC11" s="31"/>
      <c r="AD11" s="31"/>
      <c r="AE11" s="42">
        <f t="shared" si="2"/>
        <v>0</v>
      </c>
      <c r="AI11" s="63"/>
      <c r="AJ11" s="65"/>
      <c r="AK11" s="69"/>
    </row>
    <row r="12">
      <c r="A12" s="47"/>
      <c r="B12" s="32"/>
      <c r="C12" s="32"/>
      <c r="D12" s="32"/>
      <c r="E12" s="32"/>
      <c r="F12" s="32"/>
      <c r="H12" s="47"/>
      <c r="I12" s="31"/>
      <c r="J12" s="31"/>
      <c r="K12" s="31"/>
      <c r="L12" s="31"/>
      <c r="M12" s="31"/>
      <c r="N12" s="42">
        <f t="shared" si="1"/>
        <v>0</v>
      </c>
      <c r="R12" s="47"/>
      <c r="S12" s="32"/>
      <c r="T12" s="32"/>
      <c r="U12" s="32"/>
      <c r="V12" s="32"/>
      <c r="W12" s="32"/>
      <c r="Y12" s="47"/>
      <c r="Z12" s="31"/>
      <c r="AA12" s="31"/>
      <c r="AB12" s="31"/>
      <c r="AC12" s="31"/>
      <c r="AD12" s="31"/>
      <c r="AE12" s="42">
        <f t="shared" si="2"/>
        <v>0</v>
      </c>
      <c r="AI12" s="11">
        <f>SUM(H42,Y44)</f>
        <v>0</v>
      </c>
      <c r="AJ12" s="12"/>
      <c r="AK12" s="126" t="s">
        <v>3</v>
      </c>
    </row>
    <row r="13">
      <c r="A13" s="47"/>
      <c r="B13" s="32"/>
      <c r="C13" s="32"/>
      <c r="D13" s="32"/>
      <c r="E13" s="32"/>
      <c r="F13" s="32"/>
      <c r="H13" s="47"/>
      <c r="I13" s="31"/>
      <c r="J13" s="31"/>
      <c r="K13" s="31"/>
      <c r="L13" s="31"/>
      <c r="M13" s="31"/>
      <c r="N13" s="42">
        <f t="shared" si="1"/>
        <v>0</v>
      </c>
      <c r="R13" s="47"/>
      <c r="S13" s="32"/>
      <c r="T13" s="32"/>
      <c r="U13" s="32"/>
      <c r="V13" s="32"/>
      <c r="W13" s="32"/>
      <c r="Y13" s="47"/>
      <c r="Z13" s="31"/>
      <c r="AA13" s="31"/>
      <c r="AB13" s="31"/>
      <c r="AC13" s="31"/>
      <c r="AD13" s="31"/>
      <c r="AE13" s="42">
        <f t="shared" si="2"/>
        <v>0</v>
      </c>
      <c r="AI13" s="63"/>
      <c r="AJ13" s="64"/>
      <c r="AK13" s="69"/>
    </row>
    <row r="14">
      <c r="A14" s="47"/>
      <c r="B14" s="32"/>
      <c r="C14" s="32"/>
      <c r="D14" s="32"/>
      <c r="E14" s="32"/>
      <c r="F14" s="32"/>
      <c r="H14" s="47"/>
      <c r="I14" s="31"/>
      <c r="J14" s="31"/>
      <c r="K14" s="31"/>
      <c r="L14" s="31"/>
      <c r="M14" s="31"/>
      <c r="N14" s="42">
        <f t="shared" si="1"/>
        <v>0</v>
      </c>
      <c r="R14" s="47"/>
      <c r="S14" s="32"/>
      <c r="T14" s="32"/>
      <c r="U14" s="32"/>
      <c r="V14" s="32"/>
      <c r="W14" s="32"/>
      <c r="Y14" s="47"/>
      <c r="Z14" s="31"/>
      <c r="AA14" s="31"/>
      <c r="AB14" s="31"/>
      <c r="AC14" s="31"/>
      <c r="AD14" s="31"/>
      <c r="AE14" s="42">
        <f t="shared" si="2"/>
        <v>0</v>
      </c>
      <c r="AI14" s="127">
        <f>L46+AC48</f>
        <v>0</v>
      </c>
      <c r="AJ14" s="12"/>
      <c r="AK14" s="128" t="s">
        <v>17</v>
      </c>
    </row>
    <row r="15">
      <c r="A15" s="47"/>
      <c r="B15" s="32"/>
      <c r="C15" s="32"/>
      <c r="D15" s="32"/>
      <c r="E15" s="32"/>
      <c r="F15" s="32"/>
      <c r="H15" s="47"/>
      <c r="I15" s="31"/>
      <c r="J15" s="31"/>
      <c r="K15" s="31"/>
      <c r="L15" s="31"/>
      <c r="M15" s="31"/>
      <c r="N15" s="42">
        <f t="shared" si="1"/>
        <v>0</v>
      </c>
      <c r="R15" s="47"/>
      <c r="S15" s="32"/>
      <c r="T15" s="32"/>
      <c r="U15" s="32"/>
      <c r="V15" s="32"/>
      <c r="W15" s="32"/>
      <c r="Y15" s="47"/>
      <c r="Z15" s="31"/>
      <c r="AA15" s="31"/>
      <c r="AB15" s="31"/>
      <c r="AC15" s="31"/>
      <c r="AD15" s="31"/>
      <c r="AE15" s="42">
        <f t="shared" si="2"/>
        <v>0</v>
      </c>
      <c r="AI15" s="63"/>
      <c r="AJ15" s="64"/>
      <c r="AK15" s="69"/>
    </row>
    <row r="16">
      <c r="A16" s="47"/>
      <c r="B16" s="32"/>
      <c r="C16" s="32"/>
      <c r="D16" s="32"/>
      <c r="E16" s="32"/>
      <c r="F16" s="32"/>
      <c r="H16" s="47"/>
      <c r="I16" s="31"/>
      <c r="J16" s="31"/>
      <c r="K16" s="31"/>
      <c r="L16" s="31"/>
      <c r="M16" s="31"/>
      <c r="N16" s="42">
        <f t="shared" si="1"/>
        <v>0</v>
      </c>
      <c r="R16" s="47"/>
      <c r="S16" s="32"/>
      <c r="T16" s="32"/>
      <c r="U16" s="32"/>
      <c r="V16" s="32"/>
      <c r="W16" s="32"/>
      <c r="Y16" s="47"/>
      <c r="Z16" s="31"/>
      <c r="AA16" s="31"/>
      <c r="AB16" s="31"/>
      <c r="AC16" s="31"/>
      <c r="AD16" s="31"/>
      <c r="AE16" s="42">
        <f t="shared" si="2"/>
        <v>0</v>
      </c>
    </row>
    <row r="17">
      <c r="A17" s="47"/>
      <c r="B17" s="32"/>
      <c r="C17" s="32"/>
      <c r="D17" s="32"/>
      <c r="E17" s="32"/>
      <c r="F17" s="32"/>
      <c r="H17" s="47"/>
      <c r="I17" s="31"/>
      <c r="J17" s="31"/>
      <c r="K17" s="31"/>
      <c r="L17" s="31"/>
      <c r="M17" s="31"/>
      <c r="N17" s="42">
        <f t="shared" si="1"/>
        <v>0</v>
      </c>
      <c r="R17" s="47"/>
      <c r="S17" s="32"/>
      <c r="T17" s="32"/>
      <c r="U17" s="32"/>
      <c r="V17" s="32"/>
      <c r="W17" s="32"/>
      <c r="Y17" s="47"/>
      <c r="Z17" s="31"/>
      <c r="AA17" s="31"/>
      <c r="AB17" s="31"/>
      <c r="AC17" s="31"/>
      <c r="AD17" s="31"/>
      <c r="AE17" s="42">
        <f t="shared" si="2"/>
        <v>0</v>
      </c>
    </row>
    <row r="18">
      <c r="A18" s="47"/>
      <c r="B18" s="32"/>
      <c r="C18" s="32"/>
      <c r="D18" s="32"/>
      <c r="E18" s="32"/>
      <c r="F18" s="32"/>
      <c r="H18" s="47"/>
      <c r="I18" s="31"/>
      <c r="J18" s="31"/>
      <c r="K18" s="31"/>
      <c r="L18" s="31"/>
      <c r="M18" s="31"/>
      <c r="N18" s="42">
        <f t="shared" si="1"/>
        <v>0</v>
      </c>
      <c r="R18" s="47"/>
      <c r="S18" s="32"/>
      <c r="T18" s="32"/>
      <c r="U18" s="32"/>
      <c r="V18" s="32"/>
      <c r="W18" s="32"/>
      <c r="Y18" s="47"/>
      <c r="Z18" s="31"/>
      <c r="AA18" s="31"/>
      <c r="AB18" s="31"/>
      <c r="AC18" s="31"/>
      <c r="AD18" s="31"/>
      <c r="AE18" s="42">
        <f t="shared" si="2"/>
        <v>0</v>
      </c>
    </row>
    <row r="19">
      <c r="A19" s="47"/>
      <c r="B19" s="32"/>
      <c r="C19" s="32"/>
      <c r="D19" s="32"/>
      <c r="E19" s="32"/>
      <c r="F19" s="32"/>
      <c r="H19" s="47"/>
      <c r="I19" s="31"/>
      <c r="J19" s="31"/>
      <c r="K19" s="31"/>
      <c r="L19" s="31"/>
      <c r="M19" s="31"/>
      <c r="N19" s="42">
        <f t="shared" si="1"/>
        <v>0</v>
      </c>
      <c r="R19" s="47"/>
      <c r="S19" s="32"/>
      <c r="T19" s="32"/>
      <c r="U19" s="32"/>
      <c r="V19" s="32"/>
      <c r="W19" s="32"/>
      <c r="Y19" s="47"/>
      <c r="Z19" s="31"/>
      <c r="AA19" s="31"/>
      <c r="AB19" s="31"/>
      <c r="AC19" s="31"/>
      <c r="AD19" s="31"/>
      <c r="AE19" s="42">
        <f t="shared" si="2"/>
        <v>0</v>
      </c>
    </row>
    <row r="20">
      <c r="A20" s="47"/>
      <c r="B20" s="32"/>
      <c r="C20" s="32"/>
      <c r="D20" s="32"/>
      <c r="E20" s="32"/>
      <c r="F20" s="32"/>
      <c r="H20" s="47"/>
      <c r="I20" s="31"/>
      <c r="J20" s="31"/>
      <c r="K20" s="31"/>
      <c r="L20" s="31"/>
      <c r="M20" s="31"/>
      <c r="N20" s="42">
        <f t="shared" si="1"/>
        <v>0</v>
      </c>
      <c r="R20" s="47"/>
      <c r="S20" s="32"/>
      <c r="T20" s="32"/>
      <c r="U20" s="32"/>
      <c r="V20" s="32"/>
      <c r="W20" s="32"/>
      <c r="Y20" s="47"/>
      <c r="Z20" s="31"/>
      <c r="AA20" s="31"/>
      <c r="AB20" s="31"/>
      <c r="AC20" s="31"/>
      <c r="AD20" s="31"/>
      <c r="AE20" s="42">
        <f t="shared" si="2"/>
        <v>0</v>
      </c>
    </row>
    <row r="21" ht="15.75" customHeight="1">
      <c r="A21" s="47"/>
      <c r="B21" s="32"/>
      <c r="C21" s="32"/>
      <c r="D21" s="32"/>
      <c r="E21" s="32"/>
      <c r="F21" s="32"/>
      <c r="H21" s="47"/>
      <c r="I21" s="31"/>
      <c r="J21" s="31"/>
      <c r="K21" s="31"/>
      <c r="L21" s="31"/>
      <c r="M21" s="31"/>
      <c r="N21" s="42">
        <f t="shared" si="1"/>
        <v>0</v>
      </c>
      <c r="R21" s="47"/>
      <c r="S21" s="32"/>
      <c r="T21" s="32"/>
      <c r="U21" s="32"/>
      <c r="V21" s="32"/>
      <c r="W21" s="32"/>
      <c r="Y21" s="47"/>
      <c r="Z21" s="31"/>
      <c r="AA21" s="31"/>
      <c r="AB21" s="31"/>
      <c r="AC21" s="31"/>
      <c r="AD21" s="31"/>
      <c r="AE21" s="42">
        <f t="shared" si="2"/>
        <v>0</v>
      </c>
    </row>
    <row r="22" ht="15.75" customHeight="1">
      <c r="A22" s="47"/>
      <c r="B22" s="32"/>
      <c r="C22" s="32"/>
      <c r="D22" s="32"/>
      <c r="E22" s="32"/>
      <c r="F22" s="32"/>
      <c r="H22" s="47"/>
      <c r="I22" s="31"/>
      <c r="J22" s="31"/>
      <c r="K22" s="31"/>
      <c r="L22" s="31"/>
      <c r="M22" s="31"/>
      <c r="N22" s="42">
        <f t="shared" si="1"/>
        <v>0</v>
      </c>
      <c r="R22" s="47"/>
      <c r="S22" s="32"/>
      <c r="T22" s="32"/>
      <c r="U22" s="32"/>
      <c r="V22" s="32"/>
      <c r="W22" s="32"/>
      <c r="Y22" s="47"/>
      <c r="Z22" s="31"/>
      <c r="AA22" s="31"/>
      <c r="AB22" s="31"/>
      <c r="AC22" s="31"/>
      <c r="AD22" s="31"/>
      <c r="AE22" s="42">
        <f t="shared" si="2"/>
        <v>0</v>
      </c>
    </row>
    <row r="23" ht="15.75" customHeight="1">
      <c r="A23" s="47"/>
      <c r="B23" s="32"/>
      <c r="C23" s="32"/>
      <c r="D23" s="32"/>
      <c r="E23" s="32"/>
      <c r="F23" s="32"/>
      <c r="H23" s="47"/>
      <c r="I23" s="31"/>
      <c r="J23" s="31"/>
      <c r="K23" s="31"/>
      <c r="L23" s="31"/>
      <c r="M23" s="31"/>
      <c r="N23" s="42">
        <f t="shared" si="1"/>
        <v>0</v>
      </c>
      <c r="R23" s="47"/>
      <c r="S23" s="32"/>
      <c r="T23" s="32"/>
      <c r="U23" s="32"/>
      <c r="V23" s="32"/>
      <c r="W23" s="32"/>
      <c r="Y23" s="47"/>
      <c r="Z23" s="31"/>
      <c r="AA23" s="31"/>
      <c r="AB23" s="31"/>
      <c r="AC23" s="31"/>
      <c r="AD23" s="31"/>
      <c r="AE23" s="42">
        <f t="shared" si="2"/>
        <v>0</v>
      </c>
    </row>
    <row r="24" ht="15.75" customHeight="1">
      <c r="A24" s="47"/>
      <c r="B24" s="32"/>
      <c r="C24" s="32"/>
      <c r="D24" s="32"/>
      <c r="E24" s="32"/>
      <c r="F24" s="32"/>
      <c r="H24" s="47"/>
      <c r="I24" s="31"/>
      <c r="J24" s="31"/>
      <c r="K24" s="31"/>
      <c r="L24" s="31"/>
      <c r="M24" s="31"/>
      <c r="N24" s="42">
        <f t="shared" si="1"/>
        <v>0</v>
      </c>
      <c r="R24" s="47"/>
      <c r="S24" s="32"/>
      <c r="T24" s="32"/>
      <c r="U24" s="32"/>
      <c r="V24" s="32"/>
      <c r="W24" s="32"/>
      <c r="Y24" s="47"/>
      <c r="Z24" s="31"/>
      <c r="AA24" s="31"/>
      <c r="AB24" s="31"/>
      <c r="AC24" s="31"/>
      <c r="AD24" s="31"/>
      <c r="AE24" s="42">
        <f t="shared" si="2"/>
        <v>0</v>
      </c>
    </row>
    <row r="25" ht="15.75" customHeight="1">
      <c r="A25" s="47"/>
      <c r="B25" s="32"/>
      <c r="C25" s="32"/>
      <c r="D25" s="32"/>
      <c r="E25" s="32"/>
      <c r="F25" s="32"/>
      <c r="H25" s="47" t="s">
        <v>13</v>
      </c>
      <c r="I25" s="31" t="s">
        <v>13</v>
      </c>
      <c r="J25" s="31" t="s">
        <v>13</v>
      </c>
      <c r="K25" s="31" t="s">
        <v>13</v>
      </c>
      <c r="L25" s="31" t="s">
        <v>13</v>
      </c>
      <c r="M25" s="31" t="s">
        <v>13</v>
      </c>
      <c r="N25" s="42">
        <f t="shared" si="1"/>
        <v>0</v>
      </c>
      <c r="R25" s="47"/>
      <c r="S25" s="32"/>
      <c r="T25" s="32"/>
      <c r="U25" s="32"/>
      <c r="V25" s="32"/>
      <c r="W25" s="32"/>
      <c r="Y25" s="47"/>
      <c r="Z25" s="31"/>
      <c r="AA25" s="31"/>
      <c r="AB25" s="31"/>
      <c r="AC25" s="31"/>
      <c r="AD25" s="31"/>
      <c r="AE25" s="42">
        <f t="shared" si="2"/>
        <v>0</v>
      </c>
    </row>
    <row r="26" ht="15.75" customHeight="1">
      <c r="A26" s="47"/>
      <c r="B26" s="32"/>
      <c r="C26" s="32"/>
      <c r="D26" s="32"/>
      <c r="E26" s="32"/>
      <c r="F26" s="32"/>
      <c r="H26" s="47" t="s">
        <v>13</v>
      </c>
      <c r="I26" s="31" t="s">
        <v>13</v>
      </c>
      <c r="J26" s="31" t="s">
        <v>13</v>
      </c>
      <c r="K26" s="31" t="s">
        <v>13</v>
      </c>
      <c r="L26" s="31" t="s">
        <v>13</v>
      </c>
      <c r="M26" s="31" t="s">
        <v>13</v>
      </c>
      <c r="N26" s="42">
        <f t="shared" si="1"/>
        <v>0</v>
      </c>
      <c r="R26" s="47"/>
      <c r="S26" s="32"/>
      <c r="T26" s="32"/>
      <c r="U26" s="32"/>
      <c r="V26" s="32"/>
      <c r="W26" s="32"/>
      <c r="Y26" s="47"/>
      <c r="Z26" s="31"/>
      <c r="AA26" s="31"/>
      <c r="AB26" s="31"/>
      <c r="AC26" s="31"/>
      <c r="AD26" s="31"/>
      <c r="AE26" s="42">
        <f t="shared" si="2"/>
        <v>0</v>
      </c>
    </row>
    <row r="27" ht="15.75" customHeight="1">
      <c r="A27" s="47"/>
      <c r="B27" s="32"/>
      <c r="C27" s="32"/>
      <c r="D27" s="32"/>
      <c r="E27" s="32"/>
      <c r="F27" s="32"/>
      <c r="H27" s="47" t="s">
        <v>13</v>
      </c>
      <c r="I27" s="31" t="s">
        <v>13</v>
      </c>
      <c r="J27" s="31" t="s">
        <v>13</v>
      </c>
      <c r="K27" s="31" t="s">
        <v>13</v>
      </c>
      <c r="L27" s="31" t="s">
        <v>13</v>
      </c>
      <c r="M27" s="31" t="s">
        <v>13</v>
      </c>
      <c r="N27" s="42">
        <f t="shared" si="1"/>
        <v>0</v>
      </c>
      <c r="R27" s="47"/>
      <c r="S27" s="32"/>
      <c r="T27" s="32"/>
      <c r="U27" s="32"/>
      <c r="V27" s="32"/>
      <c r="W27" s="32"/>
      <c r="Y27" s="47"/>
      <c r="Z27" s="31"/>
      <c r="AA27" s="31"/>
      <c r="AB27" s="31"/>
      <c r="AC27" s="31"/>
      <c r="AD27" s="31"/>
      <c r="AE27" s="42">
        <f t="shared" si="2"/>
        <v>0</v>
      </c>
    </row>
    <row r="28" ht="15.75" customHeight="1">
      <c r="A28" s="140"/>
      <c r="B28" s="32"/>
      <c r="C28" s="32"/>
      <c r="D28" s="32"/>
      <c r="E28" s="32"/>
      <c r="F28" s="32"/>
      <c r="H28" s="47" t="s">
        <v>13</v>
      </c>
      <c r="I28" s="31" t="s">
        <v>13</v>
      </c>
      <c r="J28" s="31" t="s">
        <v>13</v>
      </c>
      <c r="K28" s="31" t="s">
        <v>13</v>
      </c>
      <c r="L28" s="31" t="s">
        <v>13</v>
      </c>
      <c r="M28" s="31" t="s">
        <v>13</v>
      </c>
      <c r="N28" s="42">
        <f t="shared" si="1"/>
        <v>0</v>
      </c>
      <c r="R28" s="47"/>
      <c r="S28" s="32"/>
      <c r="T28" s="32"/>
      <c r="U28" s="32"/>
      <c r="V28" s="32"/>
      <c r="W28" s="32"/>
      <c r="Y28" s="47"/>
      <c r="Z28" s="31"/>
      <c r="AA28" s="31"/>
      <c r="AB28" s="31"/>
      <c r="AC28" s="31"/>
      <c r="AD28" s="31"/>
      <c r="AE28" s="42">
        <f t="shared" si="2"/>
        <v>0</v>
      </c>
    </row>
    <row r="29" ht="15.75" customHeight="1">
      <c r="A29" s="47"/>
      <c r="B29" s="32"/>
      <c r="C29" s="94"/>
      <c r="D29" s="94"/>
      <c r="E29" s="94"/>
      <c r="F29" s="94"/>
      <c r="H29" s="47" t="s">
        <v>13</v>
      </c>
      <c r="I29" s="31" t="s">
        <v>13</v>
      </c>
      <c r="J29" s="31" t="s">
        <v>13</v>
      </c>
      <c r="K29" s="31" t="s">
        <v>13</v>
      </c>
      <c r="L29" s="31" t="s">
        <v>13</v>
      </c>
      <c r="M29" s="31" t="s">
        <v>13</v>
      </c>
      <c r="N29" s="42">
        <f t="shared" si="1"/>
        <v>0</v>
      </c>
      <c r="R29" s="47"/>
      <c r="S29" s="32"/>
      <c r="T29" s="32"/>
      <c r="U29" s="32"/>
      <c r="V29" s="32"/>
      <c r="W29" s="32"/>
      <c r="Y29" s="47"/>
      <c r="Z29" s="31"/>
      <c r="AA29" s="31"/>
      <c r="AB29" s="31"/>
      <c r="AC29" s="31"/>
      <c r="AD29" s="31"/>
      <c r="AE29" s="42">
        <f t="shared" si="2"/>
        <v>0</v>
      </c>
    </row>
    <row r="30" ht="15.75" customHeight="1">
      <c r="A30" s="47"/>
      <c r="B30" s="32"/>
      <c r="C30" s="94"/>
      <c r="D30" s="94"/>
      <c r="E30" s="94"/>
      <c r="F30" s="94"/>
      <c r="H30" s="47" t="s">
        <v>13</v>
      </c>
      <c r="I30" s="31" t="s">
        <v>13</v>
      </c>
      <c r="J30" s="31" t="s">
        <v>13</v>
      </c>
      <c r="K30" s="31" t="s">
        <v>13</v>
      </c>
      <c r="L30" s="31" t="s">
        <v>13</v>
      </c>
      <c r="M30" s="31" t="s">
        <v>13</v>
      </c>
      <c r="N30" s="42">
        <f t="shared" si="1"/>
        <v>0</v>
      </c>
      <c r="R30" s="47"/>
      <c r="S30" s="31"/>
      <c r="T30" s="32"/>
      <c r="U30" s="32"/>
      <c r="V30" s="32"/>
      <c r="W30" s="32"/>
      <c r="Y30" s="47"/>
      <c r="Z30" s="31"/>
      <c r="AA30" s="31"/>
      <c r="AB30" s="31"/>
      <c r="AC30" s="31"/>
      <c r="AD30" s="31"/>
      <c r="AE30" s="42">
        <f t="shared" si="2"/>
        <v>0</v>
      </c>
    </row>
    <row r="31" ht="15.75" customHeight="1">
      <c r="A31" s="47"/>
      <c r="B31" s="32"/>
      <c r="C31" s="94"/>
      <c r="D31" s="94"/>
      <c r="E31" s="94"/>
      <c r="F31" s="94"/>
      <c r="H31" s="47" t="s">
        <v>13</v>
      </c>
      <c r="I31" s="31" t="s">
        <v>13</v>
      </c>
      <c r="J31" s="31" t="s">
        <v>13</v>
      </c>
      <c r="K31" s="31" t="s">
        <v>13</v>
      </c>
      <c r="L31" s="31" t="s">
        <v>13</v>
      </c>
      <c r="M31" s="31" t="s">
        <v>13</v>
      </c>
      <c r="N31" s="42">
        <f t="shared" si="1"/>
        <v>0</v>
      </c>
      <c r="R31" s="47"/>
      <c r="S31" s="32"/>
      <c r="T31" s="32"/>
      <c r="U31" s="32"/>
      <c r="V31" s="32"/>
      <c r="W31" s="32"/>
      <c r="Y31" s="47"/>
      <c r="Z31" s="31"/>
      <c r="AA31" s="31"/>
      <c r="AB31" s="31"/>
      <c r="AC31" s="31"/>
      <c r="AD31" s="31"/>
      <c r="AE31" s="42">
        <f t="shared" si="2"/>
        <v>0</v>
      </c>
    </row>
    <row r="32" ht="15.75" customHeight="1">
      <c r="A32" s="47"/>
      <c r="B32" s="32"/>
      <c r="C32" s="94"/>
      <c r="D32" s="94"/>
      <c r="E32" s="94"/>
      <c r="F32" s="94"/>
      <c r="H32" s="47" t="s">
        <v>13</v>
      </c>
      <c r="I32" s="31" t="s">
        <v>13</v>
      </c>
      <c r="J32" s="31" t="s">
        <v>13</v>
      </c>
      <c r="K32" s="31" t="s">
        <v>13</v>
      </c>
      <c r="L32" s="31" t="s">
        <v>13</v>
      </c>
      <c r="M32" s="31" t="s">
        <v>13</v>
      </c>
      <c r="N32" s="42">
        <f t="shared" si="1"/>
        <v>0</v>
      </c>
      <c r="R32" s="47"/>
      <c r="S32" s="32"/>
      <c r="T32" s="32"/>
      <c r="U32" s="32"/>
      <c r="V32" s="32"/>
      <c r="W32" s="32"/>
      <c r="Y32" s="47"/>
      <c r="Z32" s="31"/>
      <c r="AA32" s="31"/>
      <c r="AB32" s="31"/>
      <c r="AC32" s="31"/>
      <c r="AD32" s="31"/>
      <c r="AE32" s="42">
        <f t="shared" si="2"/>
        <v>0</v>
      </c>
    </row>
    <row r="33" ht="15.75" customHeight="1">
      <c r="A33" s="47"/>
      <c r="B33" s="32"/>
      <c r="C33" s="94"/>
      <c r="D33" s="94"/>
      <c r="E33" s="94"/>
      <c r="F33" s="94"/>
      <c r="H33" s="47" t="s">
        <v>13</v>
      </c>
      <c r="I33" s="31" t="s">
        <v>13</v>
      </c>
      <c r="J33" s="31" t="s">
        <v>13</v>
      </c>
      <c r="K33" s="31" t="s">
        <v>13</v>
      </c>
      <c r="L33" s="31" t="s">
        <v>13</v>
      </c>
      <c r="M33" s="31" t="s">
        <v>13</v>
      </c>
      <c r="N33" s="42">
        <f t="shared" si="1"/>
        <v>0</v>
      </c>
      <c r="R33" s="47"/>
      <c r="S33" s="32"/>
      <c r="T33" s="32"/>
      <c r="U33" s="32"/>
      <c r="V33" s="32"/>
      <c r="W33" s="32"/>
      <c r="Y33" s="47"/>
      <c r="Z33" s="31"/>
      <c r="AA33" s="31"/>
      <c r="AB33" s="31"/>
      <c r="AC33" s="31"/>
      <c r="AD33" s="31"/>
      <c r="AE33" s="42">
        <f t="shared" si="2"/>
        <v>0</v>
      </c>
      <c r="AJ33" s="129"/>
    </row>
    <row r="34" ht="15.75" customHeight="1">
      <c r="A34" s="47"/>
      <c r="B34" s="32"/>
      <c r="C34" s="94"/>
      <c r="D34" s="94"/>
      <c r="E34" s="94"/>
      <c r="F34" s="94"/>
      <c r="H34" s="47" t="s">
        <v>13</v>
      </c>
      <c r="I34" s="31" t="s">
        <v>13</v>
      </c>
      <c r="J34" s="31" t="s">
        <v>13</v>
      </c>
      <c r="K34" s="31" t="s">
        <v>13</v>
      </c>
      <c r="L34" s="31" t="s">
        <v>13</v>
      </c>
      <c r="M34" s="31" t="s">
        <v>13</v>
      </c>
      <c r="N34" s="42">
        <f t="shared" si="1"/>
        <v>0</v>
      </c>
      <c r="R34" s="47"/>
      <c r="S34" s="32"/>
      <c r="T34" s="32"/>
      <c r="U34" s="32"/>
      <c r="V34" s="32"/>
      <c r="W34" s="32"/>
      <c r="Y34" s="58" t="s">
        <v>8</v>
      </c>
      <c r="Z34" s="59">
        <f>COUNT(Z5:AD33)</f>
        <v>0</v>
      </c>
      <c r="AA34" s="6"/>
      <c r="AC34" s="60" t="s">
        <v>3</v>
      </c>
      <c r="AD34" s="5"/>
      <c r="AE34" s="58">
        <f>SUM(AE5:AE33)</f>
        <v>0</v>
      </c>
      <c r="AJ34" s="129"/>
      <c r="AK34" s="129"/>
    </row>
    <row r="35" ht="15.75" customHeight="1">
      <c r="A35" s="47"/>
      <c r="B35" s="32"/>
      <c r="C35" s="94"/>
      <c r="D35" s="94"/>
      <c r="E35" s="94"/>
      <c r="F35" s="94"/>
      <c r="H35" s="47" t="s">
        <v>13</v>
      </c>
      <c r="I35" s="31" t="s">
        <v>13</v>
      </c>
      <c r="J35" s="31" t="s">
        <v>13</v>
      </c>
      <c r="K35" s="31" t="s">
        <v>13</v>
      </c>
      <c r="L35" s="31" t="s">
        <v>13</v>
      </c>
      <c r="M35" s="31" t="s">
        <v>13</v>
      </c>
      <c r="N35" s="42">
        <f t="shared" si="1"/>
        <v>0</v>
      </c>
      <c r="R35" s="47"/>
      <c r="S35" s="32"/>
      <c r="T35" s="32"/>
      <c r="U35" s="32"/>
      <c r="V35" s="32"/>
      <c r="W35" s="32"/>
      <c r="AJ35" s="129"/>
      <c r="AK35" s="129"/>
    </row>
    <row r="36" ht="15.75" customHeight="1">
      <c r="A36" s="47"/>
      <c r="B36" s="32"/>
      <c r="C36" s="32"/>
      <c r="D36" s="32"/>
      <c r="E36" s="32"/>
      <c r="F36" s="32"/>
      <c r="H36" s="47"/>
      <c r="I36" s="31"/>
      <c r="J36" s="31"/>
      <c r="K36" s="31"/>
      <c r="L36" s="31"/>
      <c r="M36" s="31"/>
      <c r="N36" s="42">
        <f t="shared" si="1"/>
        <v>0</v>
      </c>
      <c r="R36" s="47"/>
      <c r="S36" s="32"/>
      <c r="T36" s="32"/>
      <c r="U36" s="32"/>
      <c r="V36" s="32"/>
      <c r="W36" s="32"/>
      <c r="AJ36" s="129"/>
      <c r="AK36" s="129"/>
    </row>
    <row r="37" ht="15.75" customHeight="1">
      <c r="A37" s="47"/>
      <c r="B37" s="32"/>
      <c r="C37" s="32"/>
      <c r="D37" s="32"/>
      <c r="E37" s="32"/>
      <c r="F37" s="32"/>
      <c r="H37" s="58" t="s">
        <v>8</v>
      </c>
      <c r="I37" s="59">
        <f>COUNT(I5:M36)</f>
        <v>0</v>
      </c>
      <c r="J37" s="6"/>
      <c r="L37" s="60" t="s">
        <v>3</v>
      </c>
      <c r="M37" s="5"/>
      <c r="N37" s="58">
        <f>SUM(N5:N36)</f>
        <v>0</v>
      </c>
      <c r="R37" s="47"/>
      <c r="S37" s="32"/>
      <c r="T37" s="32"/>
      <c r="U37" s="32"/>
      <c r="V37" s="32"/>
      <c r="W37" s="32"/>
      <c r="AB37" s="130"/>
      <c r="AJ37" s="129"/>
      <c r="AK37" s="129"/>
    </row>
    <row r="38" ht="15.75" customHeight="1">
      <c r="A38" s="47"/>
      <c r="B38" s="32"/>
      <c r="C38" s="32"/>
      <c r="D38" s="32"/>
      <c r="E38" s="32"/>
      <c r="F38" s="32"/>
      <c r="R38" s="47"/>
      <c r="S38" s="32"/>
      <c r="T38" s="32"/>
      <c r="U38" s="32"/>
      <c r="V38" s="32"/>
      <c r="W38" s="32"/>
      <c r="AJ38" s="129"/>
      <c r="AK38" s="129"/>
    </row>
    <row r="39" ht="15.75" customHeight="1">
      <c r="A39" s="47"/>
      <c r="B39" s="32"/>
      <c r="C39" s="32"/>
      <c r="D39" s="32"/>
      <c r="E39" s="32"/>
      <c r="F39" s="32"/>
      <c r="H39" s="11" t="s">
        <v>1</v>
      </c>
      <c r="I39" s="12"/>
      <c r="J39" s="12"/>
      <c r="K39" s="12"/>
      <c r="L39" s="12"/>
      <c r="M39" s="12"/>
      <c r="N39" s="13"/>
      <c r="R39" s="47"/>
      <c r="S39" s="32"/>
      <c r="T39" s="32"/>
      <c r="U39" s="32"/>
      <c r="V39" s="32"/>
      <c r="W39" s="32"/>
      <c r="Y39" s="62" t="s">
        <v>1</v>
      </c>
      <c r="Z39" s="12"/>
      <c r="AA39" s="12"/>
      <c r="AB39" s="12"/>
      <c r="AC39" s="12"/>
      <c r="AD39" s="12"/>
      <c r="AE39" s="13"/>
      <c r="AJ39" s="129"/>
      <c r="AK39" s="129"/>
    </row>
    <row r="40" ht="15.75" customHeight="1">
      <c r="A40" s="47"/>
      <c r="B40" s="32"/>
      <c r="C40" s="32"/>
      <c r="D40" s="32"/>
      <c r="E40" s="32"/>
      <c r="F40" s="32"/>
      <c r="H40" s="63"/>
      <c r="I40" s="64"/>
      <c r="J40" s="64"/>
      <c r="K40" s="64"/>
      <c r="L40" s="64"/>
      <c r="M40" s="64"/>
      <c r="N40" s="65"/>
      <c r="R40" s="47"/>
      <c r="S40" s="32"/>
      <c r="T40" s="32"/>
      <c r="U40" s="32"/>
      <c r="V40" s="32"/>
      <c r="W40" s="32"/>
      <c r="Y40" s="63"/>
      <c r="Z40" s="64"/>
      <c r="AA40" s="64"/>
      <c r="AB40" s="64"/>
      <c r="AC40" s="64"/>
      <c r="AD40" s="64"/>
      <c r="AE40" s="65"/>
      <c r="AJ40" s="129"/>
      <c r="AK40" s="129"/>
    </row>
    <row r="41" ht="15.75" customHeight="1">
      <c r="A41" s="47"/>
      <c r="B41" s="32"/>
      <c r="C41" s="32"/>
      <c r="D41" s="32"/>
      <c r="E41" s="32"/>
      <c r="F41" s="32"/>
      <c r="H41" s="58" t="s">
        <v>3</v>
      </c>
      <c r="I41" s="60" t="s">
        <v>9</v>
      </c>
      <c r="J41" s="5"/>
      <c r="K41" s="6"/>
      <c r="L41" s="60" t="s">
        <v>10</v>
      </c>
      <c r="M41" s="5"/>
      <c r="N41" s="6"/>
      <c r="R41" s="47"/>
      <c r="S41" s="32"/>
      <c r="T41" s="32"/>
      <c r="U41" s="32"/>
      <c r="V41" s="32"/>
      <c r="W41" s="32"/>
      <c r="Y41" s="61"/>
      <c r="Z41" s="61"/>
      <c r="AA41" s="61"/>
      <c r="AB41" s="61"/>
      <c r="AC41" s="61"/>
      <c r="AD41" s="61"/>
      <c r="AE41" s="61"/>
      <c r="AJ41" s="129"/>
      <c r="AK41" s="129"/>
    </row>
    <row r="42" ht="15.75" customHeight="1">
      <c r="A42" s="47"/>
      <c r="B42" s="32"/>
      <c r="C42" s="32"/>
      <c r="D42" s="32"/>
      <c r="E42" s="32"/>
      <c r="F42" s="32"/>
      <c r="H42" s="137">
        <f>SUM(B46,N37)</f>
        <v>0</v>
      </c>
      <c r="I42" s="132">
        <f>COUNT(F5:F44,I5:M36)</f>
        <v>0</v>
      </c>
      <c r="J42" s="12"/>
      <c r="K42" s="13"/>
      <c r="L42" s="132">
        <f>SUM(F5:F44)+COUNT(I5:M36)</f>
        <v>0</v>
      </c>
      <c r="M42" s="12"/>
      <c r="N42" s="13"/>
      <c r="R42" s="47"/>
      <c r="S42" s="32"/>
      <c r="T42" s="32"/>
      <c r="U42" s="32"/>
      <c r="V42" s="32"/>
      <c r="W42" s="32"/>
      <c r="Y42" s="61"/>
      <c r="Z42" s="61"/>
      <c r="AA42" s="61"/>
      <c r="AB42" s="61"/>
      <c r="AC42" s="61"/>
      <c r="AD42" s="61"/>
      <c r="AE42" s="61"/>
      <c r="AJ42" s="129"/>
      <c r="AK42" s="129"/>
    </row>
    <row r="43" ht="15.75" customHeight="1">
      <c r="A43" s="47"/>
      <c r="B43" s="32"/>
      <c r="C43" s="32"/>
      <c r="D43" s="32"/>
      <c r="E43" s="32"/>
      <c r="F43" s="32"/>
      <c r="H43" s="69"/>
      <c r="I43" s="63"/>
      <c r="J43" s="64"/>
      <c r="K43" s="65"/>
      <c r="L43" s="63"/>
      <c r="M43" s="64"/>
      <c r="N43" s="65"/>
      <c r="R43" s="47"/>
      <c r="S43" s="32"/>
      <c r="T43" s="32"/>
      <c r="U43" s="32"/>
      <c r="V43" s="32"/>
      <c r="W43" s="32"/>
      <c r="Y43" s="58" t="s">
        <v>3</v>
      </c>
      <c r="Z43" s="60" t="s">
        <v>9</v>
      </c>
      <c r="AA43" s="5"/>
      <c r="AB43" s="6"/>
      <c r="AC43" s="60" t="s">
        <v>10</v>
      </c>
      <c r="AD43" s="5"/>
      <c r="AE43" s="6"/>
      <c r="AJ43" s="129"/>
      <c r="AK43" s="129"/>
    </row>
    <row r="44" ht="15.75" customHeight="1">
      <c r="A44" s="47"/>
      <c r="B44" s="32"/>
      <c r="C44" s="32"/>
      <c r="D44" s="32"/>
      <c r="E44" s="32"/>
      <c r="F44" s="32"/>
      <c r="L44" s="138" t="s">
        <v>18</v>
      </c>
      <c r="M44" s="12"/>
      <c r="N44" s="13"/>
      <c r="R44" s="47"/>
      <c r="S44" s="32"/>
      <c r="T44" s="32"/>
      <c r="U44" s="32"/>
      <c r="V44" s="32"/>
      <c r="W44" s="32"/>
      <c r="Y44" s="131">
        <f>SUM(S67,AE34)</f>
        <v>0</v>
      </c>
      <c r="Z44" s="132">
        <f>COUNT(W5:W65,Z5:AD33)</f>
        <v>0</v>
      </c>
      <c r="AA44" s="12"/>
      <c r="AB44" s="13"/>
      <c r="AC44" s="132">
        <f>SUM(W5:W65)+COUNT(Z5:AD33)</f>
        <v>0</v>
      </c>
      <c r="AD44" s="12"/>
      <c r="AE44" s="13"/>
      <c r="AJ44" s="129"/>
      <c r="AK44" s="129"/>
    </row>
    <row r="45" ht="15.75" customHeight="1">
      <c r="A45" s="60" t="s">
        <v>1</v>
      </c>
      <c r="B45" s="5"/>
      <c r="C45" s="5"/>
      <c r="D45" s="5"/>
      <c r="E45" s="5"/>
      <c r="F45" s="5"/>
      <c r="L45" s="63"/>
      <c r="M45" s="64"/>
      <c r="N45" s="65"/>
      <c r="R45" s="47"/>
      <c r="S45" s="32"/>
      <c r="T45" s="32"/>
      <c r="U45" s="32"/>
      <c r="V45" s="32"/>
      <c r="W45" s="32"/>
      <c r="Y45" s="69"/>
      <c r="Z45" s="63"/>
      <c r="AA45" s="64"/>
      <c r="AB45" s="65"/>
      <c r="AC45" s="63"/>
      <c r="AD45" s="64"/>
      <c r="AE45" s="65"/>
      <c r="AJ45" s="129"/>
      <c r="AK45" s="129"/>
    </row>
    <row r="46" ht="15.75" customHeight="1">
      <c r="A46" s="60"/>
      <c r="B46" s="67">
        <f>SUM(B5:B44)</f>
        <v>0</v>
      </c>
      <c r="C46" s="68" t="s">
        <v>11</v>
      </c>
      <c r="D46" s="68"/>
      <c r="E46" s="68"/>
      <c r="F46" s="67">
        <f>SUM(F5:F44)</f>
        <v>0</v>
      </c>
      <c r="L46" s="139">
        <f>ROUNDUP(SUM(F5:F65)/3+COUNT(I5:M36)/2,0)</f>
        <v>0</v>
      </c>
      <c r="M46" s="12"/>
      <c r="N46" s="13"/>
      <c r="R46" s="47"/>
      <c r="S46" s="32"/>
      <c r="T46" s="32"/>
      <c r="U46" s="32"/>
      <c r="V46" s="32"/>
      <c r="W46" s="32"/>
      <c r="AC46" s="133" t="s">
        <v>18</v>
      </c>
      <c r="AD46" s="12"/>
      <c r="AE46" s="13"/>
      <c r="AJ46" s="129"/>
      <c r="AK46" s="129"/>
    </row>
    <row r="47" ht="15.75" customHeight="1">
      <c r="L47" s="63"/>
      <c r="M47" s="64"/>
      <c r="N47" s="65"/>
      <c r="R47" s="47"/>
      <c r="S47" s="32"/>
      <c r="T47" s="32"/>
      <c r="U47" s="32"/>
      <c r="V47" s="32"/>
      <c r="W47" s="32"/>
      <c r="AC47" s="63"/>
      <c r="AD47" s="64"/>
      <c r="AE47" s="65"/>
      <c r="AJ47" s="129"/>
      <c r="AK47" s="129"/>
    </row>
    <row r="48" ht="15.75" customHeight="1">
      <c r="R48" s="47"/>
      <c r="S48" s="32"/>
      <c r="T48" s="32"/>
      <c r="U48" s="32"/>
      <c r="V48" s="32"/>
      <c r="W48" s="32"/>
      <c r="AC48" s="134">
        <f>ROUNDUP(SUM(W5:W65)/3+COUNT(Z5:AD33)/2,0)</f>
        <v>0</v>
      </c>
      <c r="AD48" s="12"/>
      <c r="AE48" s="13"/>
      <c r="AJ48" s="129"/>
      <c r="AK48" s="129"/>
    </row>
    <row r="49" ht="15.75" customHeight="1">
      <c r="R49" s="47"/>
      <c r="S49" s="32"/>
      <c r="T49" s="32"/>
      <c r="U49" s="32"/>
      <c r="V49" s="32"/>
      <c r="W49" s="32"/>
      <c r="AC49" s="63"/>
      <c r="AD49" s="64"/>
      <c r="AE49" s="65"/>
      <c r="AJ49" s="129"/>
      <c r="AK49" s="129"/>
    </row>
    <row r="50" ht="15.75" customHeight="1">
      <c r="R50" s="47"/>
      <c r="S50" s="32"/>
      <c r="T50" s="32"/>
      <c r="U50" s="32"/>
      <c r="V50" s="32"/>
      <c r="W50" s="32"/>
      <c r="AJ50" s="129"/>
      <c r="AK50" s="129"/>
    </row>
    <row r="51" ht="15.75" customHeight="1">
      <c r="R51" s="47"/>
      <c r="S51" s="32"/>
      <c r="T51" s="32"/>
      <c r="U51" s="32"/>
      <c r="V51" s="32"/>
      <c r="W51" s="32"/>
      <c r="AJ51" s="129"/>
      <c r="AK51" s="129"/>
    </row>
    <row r="52" ht="15.75" customHeight="1">
      <c r="R52" s="47"/>
      <c r="S52" s="32"/>
      <c r="T52" s="32"/>
      <c r="U52" s="32"/>
      <c r="V52" s="32"/>
      <c r="W52" s="32"/>
      <c r="AJ52" s="129"/>
      <c r="AK52" s="129"/>
    </row>
    <row r="53" ht="15.75" customHeight="1">
      <c r="R53" s="47"/>
      <c r="S53" s="32"/>
      <c r="T53" s="32"/>
      <c r="U53" s="32"/>
      <c r="V53" s="32"/>
      <c r="W53" s="32"/>
      <c r="AJ53" s="129"/>
      <c r="AK53" s="129"/>
    </row>
    <row r="54" ht="15.75" customHeight="1">
      <c r="R54" s="47"/>
      <c r="S54" s="32"/>
      <c r="T54" s="32"/>
      <c r="U54" s="32"/>
      <c r="V54" s="32"/>
      <c r="W54" s="32"/>
    </row>
    <row r="55" ht="15.75" customHeight="1">
      <c r="R55" s="47"/>
      <c r="S55" s="32"/>
      <c r="T55" s="32"/>
      <c r="U55" s="32"/>
      <c r="V55" s="32"/>
      <c r="W55" s="32"/>
    </row>
    <row r="56" ht="15.75" customHeight="1">
      <c r="R56" s="47"/>
      <c r="S56" s="32"/>
      <c r="T56" s="32"/>
      <c r="U56" s="32"/>
      <c r="V56" s="32"/>
      <c r="W56" s="32"/>
    </row>
    <row r="57" ht="15.75" customHeight="1">
      <c r="R57" s="47"/>
      <c r="S57" s="32"/>
      <c r="T57" s="32"/>
      <c r="U57" s="32"/>
      <c r="V57" s="32"/>
      <c r="W57" s="32"/>
    </row>
    <row r="58" ht="15.75" customHeight="1">
      <c r="R58" s="47"/>
      <c r="S58" s="32"/>
      <c r="T58" s="32"/>
      <c r="U58" s="32"/>
      <c r="V58" s="32"/>
      <c r="W58" s="32"/>
    </row>
    <row r="59" ht="15.75" customHeight="1">
      <c r="R59" s="47"/>
      <c r="S59" s="32"/>
      <c r="T59" s="32"/>
      <c r="U59" s="32"/>
      <c r="V59" s="32"/>
      <c r="W59" s="32"/>
    </row>
    <row r="60" ht="15.75" customHeight="1">
      <c r="R60" s="47"/>
      <c r="S60" s="32"/>
      <c r="T60" s="32"/>
      <c r="U60" s="32"/>
      <c r="V60" s="32"/>
      <c r="W60" s="32"/>
    </row>
    <row r="61" ht="15.75" customHeight="1">
      <c r="R61" s="47"/>
      <c r="S61" s="32"/>
      <c r="T61" s="32"/>
      <c r="U61" s="32"/>
      <c r="V61" s="32"/>
      <c r="W61" s="32"/>
    </row>
    <row r="62" ht="15.75" customHeight="1">
      <c r="R62" s="135"/>
      <c r="S62" s="136"/>
      <c r="T62" s="136"/>
      <c r="U62" s="136"/>
      <c r="V62" s="136"/>
      <c r="W62" s="136"/>
    </row>
    <row r="63" ht="15.75" customHeight="1">
      <c r="R63" s="135"/>
      <c r="S63" s="136"/>
      <c r="T63" s="136"/>
      <c r="U63" s="136"/>
      <c r="V63" s="136"/>
      <c r="W63" s="136"/>
    </row>
    <row r="64" ht="23.25" customHeight="1">
      <c r="R64" s="135"/>
      <c r="S64" s="136"/>
      <c r="T64" s="136"/>
      <c r="U64" s="136"/>
      <c r="V64" s="136"/>
      <c r="W64" s="136"/>
    </row>
    <row r="65" ht="15.75" customHeight="1">
      <c r="R65" s="135"/>
      <c r="S65" s="136"/>
      <c r="T65" s="136"/>
      <c r="U65" s="136"/>
      <c r="V65" s="136"/>
      <c r="W65" s="136"/>
    </row>
    <row r="66" ht="15.75" customHeight="1">
      <c r="R66" s="60" t="s">
        <v>1</v>
      </c>
      <c r="S66" s="5"/>
      <c r="T66" s="5"/>
      <c r="U66" s="5"/>
      <c r="V66" s="5"/>
      <c r="W66" s="5"/>
    </row>
    <row r="67" ht="15.75" customHeight="1">
      <c r="R67" s="60"/>
      <c r="S67" s="67">
        <f>SUM(S5:S65)</f>
        <v>0</v>
      </c>
      <c r="T67" s="68" t="s">
        <v>11</v>
      </c>
      <c r="U67" s="68"/>
      <c r="V67" s="68"/>
      <c r="W67" s="67">
        <f>SUM(W5:W65)</f>
        <v>0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J3:N3"/>
    <mergeCell ref="AA3:AE3"/>
    <mergeCell ref="AI5:AK7"/>
    <mergeCell ref="AI8:AJ9"/>
    <mergeCell ref="AK8:AK9"/>
    <mergeCell ref="AI10:AJ11"/>
    <mergeCell ref="AK10:AK11"/>
    <mergeCell ref="AI12:AJ13"/>
    <mergeCell ref="AK12:AK13"/>
    <mergeCell ref="AI14:AJ15"/>
    <mergeCell ref="AK14:AK15"/>
    <mergeCell ref="Z34:AA34"/>
    <mergeCell ref="AC34:AD34"/>
    <mergeCell ref="I42:K43"/>
    <mergeCell ref="L42:N43"/>
    <mergeCell ref="L44:N45"/>
    <mergeCell ref="A45:F45"/>
    <mergeCell ref="L46:N47"/>
    <mergeCell ref="Z43:AB43"/>
    <mergeCell ref="AC43:AE43"/>
    <mergeCell ref="Y44:Y45"/>
    <mergeCell ref="Z44:AB45"/>
    <mergeCell ref="AC44:AE45"/>
    <mergeCell ref="AC46:AE47"/>
    <mergeCell ref="AC48:AE49"/>
    <mergeCell ref="R66:W66"/>
    <mergeCell ref="I37:J37"/>
    <mergeCell ref="L37:M37"/>
    <mergeCell ref="H39:N40"/>
    <mergeCell ref="Y39:AE40"/>
    <mergeCell ref="I41:K41"/>
    <mergeCell ref="L41:N41"/>
    <mergeCell ref="H42:H43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.71"/>
    <col customWidth="1" min="3" max="3" width="6.43"/>
    <col customWidth="1" min="4" max="4" width="7.71"/>
    <col customWidth="1" min="5" max="5" width="5.29"/>
    <col customWidth="1" min="6" max="6" width="4.71"/>
    <col customWidth="1" min="8" max="8" width="10.71"/>
    <col customWidth="1" min="9" max="9" width="5.43"/>
    <col customWidth="1" min="10" max="10" width="5.0"/>
    <col customWidth="1" min="11" max="12" width="5.43"/>
    <col customWidth="1" min="13" max="13" width="5.0"/>
    <col customWidth="1" min="14" max="14" width="7.86"/>
  </cols>
  <sheetData>
    <row r="1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>
      <c r="A2" s="142" t="s">
        <v>20</v>
      </c>
      <c r="B2" s="143"/>
      <c r="C2" s="143"/>
      <c r="D2" s="144"/>
      <c r="E2" s="144"/>
      <c r="F2" s="144"/>
      <c r="G2" s="145"/>
      <c r="H2" s="146"/>
      <c r="I2" s="143"/>
      <c r="J2" s="147">
        <f>TODAY()</f>
        <v>46173</v>
      </c>
      <c r="K2" s="5"/>
      <c r="L2" s="5"/>
      <c r="M2" s="5"/>
      <c r="N2" s="6"/>
      <c r="O2" s="141"/>
    </row>
    <row r="3">
      <c r="A3" s="148" t="s">
        <v>2</v>
      </c>
      <c r="B3" s="149" t="s">
        <v>3</v>
      </c>
      <c r="C3" s="148" t="s">
        <v>4</v>
      </c>
      <c r="D3" s="148" t="s">
        <v>5</v>
      </c>
      <c r="E3" s="148" t="s">
        <v>6</v>
      </c>
      <c r="F3" s="148" t="s">
        <v>7</v>
      </c>
      <c r="G3" s="141"/>
      <c r="H3" s="150" t="s">
        <v>2</v>
      </c>
      <c r="I3" s="151"/>
      <c r="J3" s="151"/>
      <c r="K3" s="151"/>
      <c r="L3" s="151"/>
      <c r="M3" s="151"/>
      <c r="N3" s="152" t="s">
        <v>3</v>
      </c>
      <c r="O3" s="141"/>
    </row>
    <row r="4">
      <c r="A4" s="153"/>
      <c r="B4" s="153"/>
      <c r="C4" s="153"/>
      <c r="D4" s="153"/>
      <c r="E4" s="153"/>
      <c r="F4" s="153"/>
      <c r="G4" s="141"/>
      <c r="H4" s="153"/>
      <c r="I4" s="153"/>
      <c r="J4" s="153"/>
      <c r="K4" s="153"/>
      <c r="L4" s="153"/>
      <c r="M4" s="153"/>
      <c r="N4" s="154">
        <f t="shared" ref="N4:N32" si="1">SUM(I4:M4)</f>
        <v>0</v>
      </c>
      <c r="O4" s="141"/>
    </row>
    <row r="5">
      <c r="A5" s="155"/>
      <c r="B5" s="155"/>
      <c r="C5" s="155"/>
      <c r="D5" s="155"/>
      <c r="E5" s="155"/>
      <c r="F5" s="155"/>
      <c r="G5" s="141"/>
      <c r="H5" s="155"/>
      <c r="I5" s="153"/>
      <c r="J5" s="153"/>
      <c r="K5" s="153"/>
      <c r="L5" s="153"/>
      <c r="M5" s="153"/>
      <c r="N5" s="156">
        <f t="shared" si="1"/>
        <v>0</v>
      </c>
      <c r="O5" s="141"/>
    </row>
    <row r="6">
      <c r="A6" s="155"/>
      <c r="B6" s="155"/>
      <c r="C6" s="155"/>
      <c r="D6" s="155"/>
      <c r="E6" s="155"/>
      <c r="F6" s="155"/>
      <c r="G6" s="141"/>
      <c r="H6" s="155"/>
      <c r="I6" s="153"/>
      <c r="J6" s="153"/>
      <c r="K6" s="153"/>
      <c r="L6" s="153"/>
      <c r="M6" s="153"/>
      <c r="N6" s="156">
        <f t="shared" si="1"/>
        <v>0</v>
      </c>
      <c r="O6" s="141"/>
    </row>
    <row r="7">
      <c r="A7" s="155"/>
      <c r="B7" s="155"/>
      <c r="C7" s="155"/>
      <c r="D7" s="155"/>
      <c r="E7" s="155"/>
      <c r="F7" s="155"/>
      <c r="G7" s="141"/>
      <c r="H7" s="155"/>
      <c r="I7" s="153"/>
      <c r="J7" s="153"/>
      <c r="K7" s="153"/>
      <c r="L7" s="153"/>
      <c r="M7" s="153"/>
      <c r="N7" s="156">
        <f t="shared" si="1"/>
        <v>0</v>
      </c>
      <c r="O7" s="141"/>
    </row>
    <row r="8">
      <c r="A8" s="155"/>
      <c r="B8" s="155"/>
      <c r="C8" s="155"/>
      <c r="D8" s="155"/>
      <c r="E8" s="155"/>
      <c r="F8" s="155"/>
      <c r="G8" s="141"/>
      <c r="H8" s="155"/>
      <c r="I8" s="153"/>
      <c r="J8" s="153"/>
      <c r="K8" s="153"/>
      <c r="L8" s="153"/>
      <c r="M8" s="153"/>
      <c r="N8" s="156">
        <f t="shared" si="1"/>
        <v>0</v>
      </c>
      <c r="O8" s="141"/>
    </row>
    <row r="9">
      <c r="A9" s="155"/>
      <c r="B9" s="155"/>
      <c r="C9" s="155"/>
      <c r="D9" s="155"/>
      <c r="E9" s="155"/>
      <c r="F9" s="155"/>
      <c r="G9" s="141"/>
      <c r="H9" s="155"/>
      <c r="I9" s="153"/>
      <c r="J9" s="153"/>
      <c r="K9" s="153"/>
      <c r="L9" s="153"/>
      <c r="M9" s="153"/>
      <c r="N9" s="156">
        <f t="shared" si="1"/>
        <v>0</v>
      </c>
      <c r="O9" s="141"/>
    </row>
    <row r="10">
      <c r="A10" s="155"/>
      <c r="B10" s="155"/>
      <c r="C10" s="155"/>
      <c r="D10" s="155"/>
      <c r="E10" s="155"/>
      <c r="F10" s="155"/>
      <c r="G10" s="141"/>
      <c r="H10" s="155"/>
      <c r="I10" s="153"/>
      <c r="J10" s="153"/>
      <c r="K10" s="153"/>
      <c r="L10" s="153"/>
      <c r="M10" s="153"/>
      <c r="N10" s="156">
        <f t="shared" si="1"/>
        <v>0</v>
      </c>
      <c r="O10" s="141"/>
    </row>
    <row r="11">
      <c r="A11" s="155"/>
      <c r="B11" s="155"/>
      <c r="C11" s="155"/>
      <c r="D11" s="155"/>
      <c r="E11" s="155"/>
      <c r="F11" s="155"/>
      <c r="G11" s="141"/>
      <c r="H11" s="155"/>
      <c r="I11" s="153"/>
      <c r="J11" s="153"/>
      <c r="K11" s="153"/>
      <c r="L11" s="153"/>
      <c r="M11" s="153"/>
      <c r="N11" s="156">
        <f t="shared" si="1"/>
        <v>0</v>
      </c>
      <c r="O11" s="141"/>
    </row>
    <row r="12">
      <c r="A12" s="155"/>
      <c r="B12" s="155"/>
      <c r="C12" s="155"/>
      <c r="D12" s="155"/>
      <c r="E12" s="155"/>
      <c r="F12" s="155"/>
      <c r="G12" s="141"/>
      <c r="H12" s="155"/>
      <c r="I12" s="153"/>
      <c r="J12" s="153"/>
      <c r="K12" s="153"/>
      <c r="L12" s="153"/>
      <c r="M12" s="153"/>
      <c r="N12" s="156">
        <f t="shared" si="1"/>
        <v>0</v>
      </c>
      <c r="O12" s="141"/>
    </row>
    <row r="13">
      <c r="A13" s="155"/>
      <c r="B13" s="155"/>
      <c r="C13" s="155"/>
      <c r="D13" s="155"/>
      <c r="E13" s="155"/>
      <c r="F13" s="155"/>
      <c r="G13" s="141"/>
      <c r="H13" s="155"/>
      <c r="I13" s="153"/>
      <c r="J13" s="153"/>
      <c r="K13" s="153"/>
      <c r="L13" s="153"/>
      <c r="M13" s="153"/>
      <c r="N13" s="156">
        <f t="shared" si="1"/>
        <v>0</v>
      </c>
      <c r="O13" s="141"/>
    </row>
    <row r="14">
      <c r="A14" s="155"/>
      <c r="B14" s="155"/>
      <c r="C14" s="155"/>
      <c r="D14" s="155"/>
      <c r="E14" s="155"/>
      <c r="F14" s="155"/>
      <c r="G14" s="141"/>
      <c r="H14" s="155"/>
      <c r="I14" s="153"/>
      <c r="J14" s="153"/>
      <c r="K14" s="153"/>
      <c r="L14" s="153"/>
      <c r="M14" s="153"/>
      <c r="N14" s="156">
        <f t="shared" si="1"/>
        <v>0</v>
      </c>
      <c r="O14" s="141"/>
    </row>
    <row r="15">
      <c r="A15" s="155"/>
      <c r="B15" s="155"/>
      <c r="C15" s="155"/>
      <c r="D15" s="155"/>
      <c r="E15" s="155"/>
      <c r="F15" s="155"/>
      <c r="G15" s="141"/>
      <c r="H15" s="155"/>
      <c r="I15" s="153"/>
      <c r="J15" s="153"/>
      <c r="K15" s="153"/>
      <c r="L15" s="153"/>
      <c r="M15" s="153"/>
      <c r="N15" s="156">
        <f t="shared" si="1"/>
        <v>0</v>
      </c>
      <c r="O15" s="141"/>
    </row>
    <row r="16">
      <c r="A16" s="155"/>
      <c r="B16" s="155"/>
      <c r="C16" s="155"/>
      <c r="D16" s="155"/>
      <c r="E16" s="155"/>
      <c r="F16" s="155"/>
      <c r="G16" s="141"/>
      <c r="H16" s="155"/>
      <c r="I16" s="153"/>
      <c r="J16" s="153"/>
      <c r="K16" s="153"/>
      <c r="L16" s="153"/>
      <c r="M16" s="153"/>
      <c r="N16" s="156">
        <f t="shared" si="1"/>
        <v>0</v>
      </c>
      <c r="O16" s="141"/>
    </row>
    <row r="17">
      <c r="A17" s="155"/>
      <c r="B17" s="155"/>
      <c r="C17" s="155"/>
      <c r="D17" s="155"/>
      <c r="E17" s="155"/>
      <c r="F17" s="155"/>
      <c r="G17" s="141"/>
      <c r="H17" s="155"/>
      <c r="I17" s="153"/>
      <c r="J17" s="153"/>
      <c r="K17" s="153"/>
      <c r="L17" s="153"/>
      <c r="M17" s="153"/>
      <c r="N17" s="156">
        <f t="shared" si="1"/>
        <v>0</v>
      </c>
      <c r="O17" s="141"/>
    </row>
    <row r="18">
      <c r="A18" s="155"/>
      <c r="B18" s="155"/>
      <c r="C18" s="155"/>
      <c r="D18" s="155"/>
      <c r="E18" s="155"/>
      <c r="F18" s="155"/>
      <c r="G18" s="141"/>
      <c r="H18" s="155"/>
      <c r="I18" s="153"/>
      <c r="J18" s="153"/>
      <c r="K18" s="153"/>
      <c r="L18" s="153"/>
      <c r="M18" s="153"/>
      <c r="N18" s="156">
        <f t="shared" si="1"/>
        <v>0</v>
      </c>
      <c r="O18" s="141"/>
    </row>
    <row r="19">
      <c r="A19" s="155"/>
      <c r="B19" s="155"/>
      <c r="C19" s="155"/>
      <c r="D19" s="155"/>
      <c r="E19" s="155"/>
      <c r="F19" s="155"/>
      <c r="G19" s="141"/>
      <c r="H19" s="155"/>
      <c r="I19" s="153"/>
      <c r="J19" s="153"/>
      <c r="K19" s="153"/>
      <c r="L19" s="153"/>
      <c r="M19" s="153"/>
      <c r="N19" s="156">
        <f t="shared" si="1"/>
        <v>0</v>
      </c>
      <c r="O19" s="141"/>
    </row>
    <row r="20">
      <c r="A20" s="157"/>
      <c r="B20" s="155"/>
      <c r="C20" s="155"/>
      <c r="D20" s="155"/>
      <c r="E20" s="155"/>
      <c r="F20" s="155"/>
      <c r="G20" s="141"/>
      <c r="H20" s="155"/>
      <c r="I20" s="153"/>
      <c r="J20" s="153"/>
      <c r="K20" s="153"/>
      <c r="L20" s="153"/>
      <c r="M20" s="153"/>
      <c r="N20" s="156">
        <f t="shared" si="1"/>
        <v>0</v>
      </c>
      <c r="O20" s="141"/>
    </row>
    <row r="21">
      <c r="A21" s="155"/>
      <c r="B21" s="155"/>
      <c r="C21" s="158"/>
      <c r="D21" s="158"/>
      <c r="E21" s="158"/>
      <c r="F21" s="155"/>
      <c r="G21" s="141"/>
      <c r="H21" s="155"/>
      <c r="I21" s="153"/>
      <c r="J21" s="153"/>
      <c r="K21" s="153"/>
      <c r="L21" s="153"/>
      <c r="M21" s="153"/>
      <c r="N21" s="156">
        <f t="shared" si="1"/>
        <v>0</v>
      </c>
      <c r="O21" s="141"/>
    </row>
    <row r="22">
      <c r="A22" s="155"/>
      <c r="B22" s="155"/>
      <c r="C22" s="158"/>
      <c r="D22" s="158"/>
      <c r="E22" s="158"/>
      <c r="F22" s="155"/>
      <c r="G22" s="141"/>
      <c r="H22" s="155"/>
      <c r="I22" s="153"/>
      <c r="J22" s="153"/>
      <c r="K22" s="153"/>
      <c r="L22" s="153"/>
      <c r="M22" s="153"/>
      <c r="N22" s="156">
        <f t="shared" si="1"/>
        <v>0</v>
      </c>
      <c r="O22" s="141"/>
    </row>
    <row r="23">
      <c r="A23" s="155"/>
      <c r="B23" s="155"/>
      <c r="C23" s="158"/>
      <c r="D23" s="158"/>
      <c r="E23" s="158"/>
      <c r="F23" s="155"/>
      <c r="G23" s="141"/>
      <c r="H23" s="155"/>
      <c r="I23" s="153"/>
      <c r="J23" s="153"/>
      <c r="K23" s="153"/>
      <c r="L23" s="153"/>
      <c r="M23" s="153"/>
      <c r="N23" s="156">
        <f t="shared" si="1"/>
        <v>0</v>
      </c>
      <c r="O23" s="141"/>
    </row>
    <row r="24">
      <c r="A24" s="155"/>
      <c r="B24" s="155"/>
      <c r="C24" s="158"/>
      <c r="D24" s="158"/>
      <c r="E24" s="158"/>
      <c r="F24" s="155"/>
      <c r="G24" s="141"/>
      <c r="H24" s="155"/>
      <c r="I24" s="153"/>
      <c r="J24" s="153"/>
      <c r="K24" s="153"/>
      <c r="L24" s="153"/>
      <c r="M24" s="153"/>
      <c r="N24" s="156">
        <f t="shared" si="1"/>
        <v>0</v>
      </c>
      <c r="O24" s="141"/>
    </row>
    <row r="25">
      <c r="A25" s="155"/>
      <c r="B25" s="155"/>
      <c r="C25" s="158"/>
      <c r="D25" s="158"/>
      <c r="E25" s="158"/>
      <c r="F25" s="155"/>
      <c r="G25" s="141"/>
      <c r="H25" s="155"/>
      <c r="I25" s="153"/>
      <c r="J25" s="153"/>
      <c r="K25" s="153"/>
      <c r="L25" s="153"/>
      <c r="M25" s="153"/>
      <c r="N25" s="156">
        <f t="shared" si="1"/>
        <v>0</v>
      </c>
      <c r="O25" s="141"/>
    </row>
    <row r="26">
      <c r="A26" s="155"/>
      <c r="B26" s="155"/>
      <c r="C26" s="158"/>
      <c r="D26" s="158"/>
      <c r="E26" s="158"/>
      <c r="F26" s="155"/>
      <c r="G26" s="141"/>
      <c r="H26" s="155"/>
      <c r="I26" s="153"/>
      <c r="J26" s="153"/>
      <c r="K26" s="153"/>
      <c r="L26" s="153"/>
      <c r="M26" s="153"/>
      <c r="N26" s="156">
        <f t="shared" si="1"/>
        <v>0</v>
      </c>
      <c r="O26" s="141"/>
    </row>
    <row r="27">
      <c r="A27" s="155"/>
      <c r="B27" s="155"/>
      <c r="C27" s="158"/>
      <c r="D27" s="158"/>
      <c r="E27" s="158"/>
      <c r="F27" s="155"/>
      <c r="G27" s="141"/>
      <c r="H27" s="155"/>
      <c r="I27" s="153"/>
      <c r="J27" s="153"/>
      <c r="K27" s="153"/>
      <c r="L27" s="153"/>
      <c r="M27" s="153"/>
      <c r="N27" s="156">
        <f t="shared" si="1"/>
        <v>0</v>
      </c>
      <c r="O27" s="141"/>
    </row>
    <row r="28">
      <c r="A28" s="155"/>
      <c r="B28" s="155"/>
      <c r="C28" s="158"/>
      <c r="D28" s="158"/>
      <c r="E28" s="158"/>
      <c r="F28" s="155"/>
      <c r="G28" s="141"/>
      <c r="H28" s="155"/>
      <c r="I28" s="153"/>
      <c r="J28" s="153"/>
      <c r="K28" s="153"/>
      <c r="L28" s="153"/>
      <c r="M28" s="153"/>
      <c r="N28" s="156">
        <f t="shared" si="1"/>
        <v>0</v>
      </c>
      <c r="O28" s="141"/>
    </row>
    <row r="29">
      <c r="A29" s="155"/>
      <c r="B29" s="155"/>
      <c r="C29" s="158"/>
      <c r="D29" s="158"/>
      <c r="E29" s="158"/>
      <c r="F29" s="155"/>
      <c r="G29" s="141"/>
      <c r="H29" s="155"/>
      <c r="I29" s="153"/>
      <c r="J29" s="153"/>
      <c r="K29" s="153"/>
      <c r="L29" s="153"/>
      <c r="M29" s="153"/>
      <c r="N29" s="156">
        <f t="shared" si="1"/>
        <v>0</v>
      </c>
      <c r="O29" s="141"/>
    </row>
    <row r="30">
      <c r="A30" s="155"/>
      <c r="B30" s="155"/>
      <c r="C30" s="158"/>
      <c r="D30" s="158"/>
      <c r="E30" s="158"/>
      <c r="F30" s="155"/>
      <c r="G30" s="141"/>
      <c r="H30" s="155"/>
      <c r="I30" s="153"/>
      <c r="J30" s="153"/>
      <c r="K30" s="153"/>
      <c r="L30" s="153"/>
      <c r="M30" s="153"/>
      <c r="N30" s="156">
        <f t="shared" si="1"/>
        <v>0</v>
      </c>
      <c r="O30" s="141"/>
    </row>
    <row r="31">
      <c r="A31" s="155"/>
      <c r="B31" s="155"/>
      <c r="C31" s="158"/>
      <c r="D31" s="158"/>
      <c r="E31" s="158"/>
      <c r="F31" s="155"/>
      <c r="G31" s="141"/>
      <c r="H31" s="155"/>
      <c r="I31" s="155"/>
      <c r="J31" s="155"/>
      <c r="K31" s="155"/>
      <c r="L31" s="155"/>
      <c r="M31" s="155"/>
      <c r="N31" s="156">
        <f t="shared" si="1"/>
        <v>0</v>
      </c>
      <c r="O31" s="141"/>
    </row>
    <row r="32">
      <c r="A32" s="155"/>
      <c r="B32" s="155"/>
      <c r="C32" s="155"/>
      <c r="D32" s="155"/>
      <c r="E32" s="155"/>
      <c r="F32" s="155"/>
      <c r="G32" s="141"/>
      <c r="H32" s="155"/>
      <c r="I32" s="155"/>
      <c r="J32" s="155"/>
      <c r="K32" s="155"/>
      <c r="L32" s="155"/>
      <c r="M32" s="155"/>
      <c r="N32" s="156">
        <f t="shared" si="1"/>
        <v>0</v>
      </c>
      <c r="O32" s="141"/>
    </row>
    <row r="33">
      <c r="A33" s="155"/>
      <c r="B33" s="155"/>
      <c r="C33" s="155"/>
      <c r="D33" s="155"/>
      <c r="E33" s="155"/>
      <c r="F33" s="155"/>
      <c r="G33" s="141"/>
      <c r="H33" s="159" t="s">
        <v>21</v>
      </c>
      <c r="I33" s="106"/>
      <c r="J33" s="106"/>
      <c r="K33" s="106"/>
      <c r="L33" s="106"/>
      <c r="M33" s="106"/>
      <c r="N33" s="107"/>
      <c r="O33" s="141"/>
    </row>
    <row r="34">
      <c r="A34" s="155"/>
      <c r="B34" s="155"/>
      <c r="C34" s="155"/>
      <c r="D34" s="155"/>
      <c r="E34" s="155"/>
      <c r="F34" s="155"/>
      <c r="G34" s="141"/>
      <c r="H34" s="155"/>
      <c r="I34" s="155"/>
      <c r="J34" s="155"/>
      <c r="K34" s="155"/>
      <c r="L34" s="155"/>
      <c r="M34" s="159">
        <f>SUM(N4:N32)</f>
        <v>0</v>
      </c>
      <c r="N34" s="107"/>
      <c r="O34" s="141"/>
    </row>
    <row r="35">
      <c r="A35" s="155"/>
      <c r="B35" s="155"/>
      <c r="C35" s="155"/>
      <c r="D35" s="155"/>
      <c r="E35" s="155"/>
      <c r="F35" s="155"/>
      <c r="G35" s="141"/>
      <c r="H35" s="141"/>
      <c r="I35" s="141"/>
      <c r="J35" s="141"/>
      <c r="K35" s="141"/>
      <c r="L35" s="141"/>
      <c r="M35" s="141"/>
      <c r="N35" s="141"/>
      <c r="O35" s="141"/>
    </row>
    <row r="36">
      <c r="A36" s="155"/>
      <c r="B36" s="155"/>
      <c r="C36" s="155"/>
      <c r="D36" s="155"/>
      <c r="E36" s="155"/>
      <c r="F36" s="155"/>
      <c r="G36" s="141"/>
      <c r="H36" s="160" t="s">
        <v>22</v>
      </c>
      <c r="I36" s="64"/>
      <c r="J36" s="64"/>
      <c r="K36" s="64"/>
      <c r="L36" s="64"/>
      <c r="M36" s="64"/>
      <c r="N36" s="64"/>
      <c r="O36" s="141"/>
    </row>
    <row r="37">
      <c r="A37" s="155"/>
      <c r="B37" s="155"/>
      <c r="C37" s="155"/>
      <c r="D37" s="155"/>
      <c r="E37" s="155"/>
      <c r="F37" s="155"/>
      <c r="G37" s="141"/>
      <c r="H37" s="141"/>
      <c r="I37" s="141"/>
      <c r="J37" s="141"/>
      <c r="K37" s="141"/>
      <c r="L37" s="141"/>
      <c r="M37" s="141"/>
      <c r="N37" s="141"/>
      <c r="O37" s="141"/>
    </row>
    <row r="38">
      <c r="A38" s="155"/>
      <c r="B38" s="155"/>
      <c r="C38" s="155"/>
      <c r="D38" s="155"/>
      <c r="E38" s="155"/>
      <c r="F38" s="155"/>
      <c r="G38" s="141"/>
      <c r="H38" s="141"/>
      <c r="I38" s="141"/>
      <c r="J38" s="141"/>
      <c r="K38" s="141"/>
      <c r="L38" s="141"/>
      <c r="M38" s="141"/>
      <c r="N38" s="141"/>
      <c r="O38" s="141"/>
    </row>
    <row r="39">
      <c r="A39" s="155"/>
      <c r="B39" s="155"/>
      <c r="C39" s="155"/>
      <c r="D39" s="155"/>
      <c r="E39" s="155"/>
      <c r="F39" s="155"/>
      <c r="G39" s="141"/>
      <c r="H39" s="141"/>
      <c r="I39" s="141"/>
      <c r="J39" s="141"/>
      <c r="K39" s="141"/>
      <c r="L39" s="141"/>
      <c r="M39" s="141"/>
      <c r="N39" s="141"/>
      <c r="O39" s="141"/>
    </row>
    <row r="40">
      <c r="A40" s="155"/>
      <c r="B40" s="155"/>
      <c r="C40" s="155"/>
      <c r="D40" s="155"/>
      <c r="E40" s="155"/>
      <c r="F40" s="155"/>
      <c r="G40" s="141"/>
      <c r="H40" s="141"/>
      <c r="I40" s="141"/>
      <c r="J40" s="141"/>
      <c r="K40" s="141"/>
      <c r="L40" s="141"/>
      <c r="M40" s="141"/>
      <c r="N40" s="141"/>
      <c r="O40" s="141"/>
    </row>
    <row r="41">
      <c r="A41" s="155"/>
      <c r="B41" s="155"/>
      <c r="C41" s="155"/>
      <c r="D41" s="155"/>
      <c r="E41" s="155"/>
      <c r="F41" s="155"/>
      <c r="G41" s="141"/>
      <c r="H41" s="141"/>
      <c r="I41" s="141"/>
      <c r="J41" s="141"/>
      <c r="K41" s="141"/>
      <c r="L41" s="141"/>
      <c r="M41" s="141"/>
      <c r="N41" s="141"/>
      <c r="O41" s="141"/>
    </row>
    <row r="42">
      <c r="A42" s="155"/>
      <c r="B42" s="155"/>
      <c r="C42" s="155"/>
      <c r="D42" s="155"/>
      <c r="E42" s="155"/>
      <c r="F42" s="155"/>
      <c r="G42" s="141"/>
      <c r="H42" s="141"/>
      <c r="I42" s="141"/>
      <c r="J42" s="141"/>
      <c r="K42" s="141"/>
      <c r="L42" s="141"/>
      <c r="M42" s="141"/>
      <c r="N42" s="141"/>
      <c r="O42" s="141"/>
    </row>
    <row r="43">
      <c r="A43" s="155"/>
      <c r="B43" s="155"/>
      <c r="C43" s="155"/>
      <c r="D43" s="155"/>
      <c r="E43" s="155"/>
      <c r="F43" s="155"/>
      <c r="G43" s="141"/>
      <c r="H43" s="141"/>
      <c r="I43" s="141"/>
      <c r="J43" s="141"/>
      <c r="K43" s="141"/>
      <c r="L43" s="141"/>
      <c r="M43" s="141"/>
      <c r="N43" s="141"/>
      <c r="O43" s="141"/>
    </row>
    <row r="44">
      <c r="A44" s="155"/>
      <c r="B44" s="155"/>
      <c r="C44" s="155"/>
      <c r="D44" s="155"/>
      <c r="E44" s="155"/>
      <c r="F44" s="155"/>
      <c r="G44" s="141"/>
      <c r="H44" s="141"/>
      <c r="I44" s="141"/>
      <c r="J44" s="141"/>
      <c r="K44" s="141"/>
      <c r="L44" s="141"/>
      <c r="M44" s="141"/>
      <c r="N44" s="141"/>
      <c r="O44" s="141"/>
    </row>
    <row r="45">
      <c r="A45" s="155"/>
      <c r="B45" s="155"/>
      <c r="C45" s="155"/>
      <c r="D45" s="155"/>
      <c r="E45" s="155"/>
      <c r="F45" s="155"/>
      <c r="G45" s="141"/>
      <c r="H45" s="161" t="s">
        <v>1</v>
      </c>
      <c r="I45" s="12"/>
      <c r="J45" s="12"/>
      <c r="K45" s="12"/>
      <c r="L45" s="12"/>
      <c r="M45" s="12"/>
      <c r="N45" s="13"/>
      <c r="O45" s="141"/>
    </row>
    <row r="46">
      <c r="A46" s="155"/>
      <c r="B46" s="155"/>
      <c r="C46" s="155"/>
      <c r="D46" s="155"/>
      <c r="E46" s="155"/>
      <c r="F46" s="155"/>
      <c r="G46" s="141"/>
      <c r="H46" s="63"/>
      <c r="I46" s="64"/>
      <c r="J46" s="64"/>
      <c r="K46" s="64"/>
      <c r="L46" s="64"/>
      <c r="M46" s="64"/>
      <c r="N46" s="65"/>
      <c r="O46" s="141"/>
    </row>
    <row r="47">
      <c r="A47" s="155"/>
      <c r="B47" s="155"/>
      <c r="C47" s="155"/>
      <c r="D47" s="155"/>
      <c r="E47" s="155"/>
      <c r="F47" s="155"/>
      <c r="G47" s="141"/>
      <c r="H47" s="141"/>
      <c r="I47" s="141"/>
      <c r="J47" s="141"/>
      <c r="K47" s="141"/>
      <c r="L47" s="141"/>
      <c r="M47" s="141"/>
      <c r="N47" s="141"/>
      <c r="O47" s="141"/>
    </row>
    <row r="48">
      <c r="A48" s="155"/>
      <c r="B48" s="155"/>
      <c r="C48" s="155"/>
      <c r="D48" s="155"/>
      <c r="E48" s="155"/>
      <c r="F48" s="155"/>
      <c r="G48" s="141"/>
      <c r="H48" s="162" t="s">
        <v>3</v>
      </c>
      <c r="I48" s="163" t="s">
        <v>9</v>
      </c>
      <c r="J48" s="5"/>
      <c r="K48" s="6"/>
      <c r="L48" s="163" t="s">
        <v>10</v>
      </c>
      <c r="M48" s="5"/>
      <c r="N48" s="6"/>
      <c r="O48" s="141"/>
    </row>
    <row r="49">
      <c r="A49" s="155"/>
      <c r="B49" s="155"/>
      <c r="C49" s="155"/>
      <c r="D49" s="155"/>
      <c r="E49" s="155"/>
      <c r="F49" s="155"/>
      <c r="G49" s="141"/>
      <c r="H49" s="164">
        <f>SUM(B56,M34)</f>
        <v>0</v>
      </c>
      <c r="I49" s="165">
        <f>COUNT(F4:F54,I4:M32)</f>
        <v>0</v>
      </c>
      <c r="J49" s="12"/>
      <c r="K49" s="13"/>
      <c r="L49" s="165">
        <f>SUM(F4:F54)+COUNT(I4:M32)</f>
        <v>0</v>
      </c>
      <c r="M49" s="12"/>
      <c r="N49" s="13"/>
      <c r="O49" s="141"/>
    </row>
    <row r="50">
      <c r="A50" s="155"/>
      <c r="B50" s="155"/>
      <c r="C50" s="155"/>
      <c r="D50" s="155"/>
      <c r="E50" s="155"/>
      <c r="F50" s="155"/>
      <c r="G50" s="141"/>
      <c r="H50" s="69"/>
      <c r="I50" s="63"/>
      <c r="J50" s="64"/>
      <c r="K50" s="65"/>
      <c r="L50" s="63"/>
      <c r="M50" s="64"/>
      <c r="N50" s="65"/>
      <c r="O50" s="141"/>
    </row>
    <row r="51">
      <c r="A51" s="155"/>
      <c r="B51" s="155"/>
      <c r="C51" s="155"/>
      <c r="D51" s="155"/>
      <c r="E51" s="155"/>
      <c r="F51" s="155"/>
      <c r="G51" s="141"/>
      <c r="H51" s="141"/>
      <c r="I51" s="141"/>
      <c r="J51" s="141"/>
      <c r="K51" s="141"/>
      <c r="L51" s="141"/>
      <c r="M51" s="141"/>
      <c r="N51" s="141"/>
      <c r="O51" s="141"/>
    </row>
    <row r="52">
      <c r="A52" s="155"/>
      <c r="B52" s="155"/>
      <c r="C52" s="155"/>
      <c r="D52" s="155"/>
      <c r="E52" s="155"/>
      <c r="F52" s="155"/>
      <c r="G52" s="141"/>
      <c r="H52" s="141"/>
      <c r="I52" s="141"/>
      <c r="J52" s="141"/>
      <c r="K52" s="141"/>
      <c r="L52" s="141"/>
      <c r="M52" s="141"/>
      <c r="N52" s="141"/>
      <c r="O52" s="141"/>
    </row>
    <row r="53">
      <c r="A53" s="155"/>
      <c r="B53" s="155"/>
      <c r="C53" s="155"/>
      <c r="D53" s="155"/>
      <c r="E53" s="155"/>
      <c r="F53" s="155"/>
      <c r="G53" s="141"/>
      <c r="H53" s="141"/>
      <c r="I53" s="141"/>
      <c r="J53" s="141"/>
      <c r="K53" s="141"/>
      <c r="L53" s="141"/>
      <c r="M53" s="141"/>
      <c r="N53" s="141"/>
      <c r="O53" s="141"/>
    </row>
    <row r="54">
      <c r="A54" s="166"/>
      <c r="B54" s="167"/>
      <c r="C54" s="166"/>
      <c r="D54" s="166"/>
      <c r="E54" s="166"/>
      <c r="F54" s="166"/>
      <c r="G54" s="141"/>
      <c r="H54" s="141"/>
      <c r="I54" s="141"/>
      <c r="J54" s="141"/>
      <c r="K54" s="141"/>
      <c r="L54" s="141"/>
      <c r="M54" s="141"/>
      <c r="N54" s="141"/>
      <c r="O54" s="141"/>
    </row>
    <row r="55">
      <c r="A55" s="168" t="s">
        <v>1</v>
      </c>
      <c r="B55" s="5"/>
      <c r="C55" s="5"/>
      <c r="D55" s="5"/>
      <c r="E55" s="5"/>
      <c r="F55" s="5"/>
      <c r="G55" s="141"/>
      <c r="H55" s="141"/>
      <c r="I55" s="141"/>
      <c r="J55" s="141"/>
      <c r="K55" s="141"/>
      <c r="L55" s="141"/>
      <c r="M55" s="141"/>
      <c r="N55" s="141"/>
      <c r="O55" s="141"/>
    </row>
    <row r="56">
      <c r="A56" s="169"/>
      <c r="B56" s="148">
        <f>SUM(B4:B54)</f>
        <v>0</v>
      </c>
      <c r="C56" s="170" t="s">
        <v>11</v>
      </c>
      <c r="D56" s="171"/>
      <c r="E56" s="171"/>
      <c r="F56" s="148">
        <f>SUM(F4:F54)</f>
        <v>0</v>
      </c>
      <c r="G56" s="141"/>
      <c r="H56" s="141"/>
      <c r="I56" s="141"/>
      <c r="J56" s="141"/>
      <c r="K56" s="141"/>
      <c r="L56" s="141"/>
      <c r="M56" s="141"/>
      <c r="N56" s="141"/>
      <c r="O56" s="141"/>
    </row>
    <row r="57">
      <c r="A57" s="141"/>
      <c r="B57" s="141"/>
      <c r="C57" s="141"/>
      <c r="D57" s="141"/>
      <c r="E57" s="141"/>
      <c r="F57" s="141"/>
      <c r="O57" s="141"/>
    </row>
    <row r="58">
      <c r="A58" s="142" t="s">
        <v>23</v>
      </c>
      <c r="B58" s="143"/>
      <c r="C58" s="143"/>
      <c r="D58" s="144"/>
      <c r="E58" s="144"/>
      <c r="F58" s="144"/>
      <c r="G58" s="172"/>
      <c r="H58" s="146"/>
      <c r="I58" s="143"/>
      <c r="J58" s="147">
        <f>TODAY()</f>
        <v>46173</v>
      </c>
      <c r="K58" s="5"/>
      <c r="L58" s="5"/>
      <c r="M58" s="5"/>
      <c r="N58" s="6"/>
      <c r="O58" s="141"/>
    </row>
    <row r="59">
      <c r="A59" s="148" t="s">
        <v>2</v>
      </c>
      <c r="B59" s="149" t="s">
        <v>3</v>
      </c>
      <c r="C59" s="148" t="s">
        <v>4</v>
      </c>
      <c r="D59" s="148" t="s">
        <v>5</v>
      </c>
      <c r="E59" s="148" t="s">
        <v>6</v>
      </c>
      <c r="F59" s="148" t="s">
        <v>7</v>
      </c>
      <c r="G59" s="141"/>
      <c r="H59" s="150" t="s">
        <v>2</v>
      </c>
      <c r="I59" s="151"/>
      <c r="J59" s="151"/>
      <c r="K59" s="151"/>
      <c r="L59" s="151"/>
      <c r="M59" s="151"/>
      <c r="N59" s="152" t="s">
        <v>3</v>
      </c>
      <c r="O59" s="141"/>
    </row>
    <row r="60">
      <c r="A60" s="155"/>
      <c r="B60" s="155"/>
      <c r="C60" s="155"/>
      <c r="D60" s="155"/>
      <c r="E60" s="155"/>
      <c r="F60" s="155"/>
      <c r="G60" s="141"/>
      <c r="H60" s="153"/>
      <c r="I60" s="153"/>
      <c r="J60" s="153"/>
      <c r="K60" s="153"/>
      <c r="L60" s="153"/>
      <c r="M60" s="153"/>
      <c r="N60" s="173">
        <v>0.0</v>
      </c>
      <c r="O60" s="141"/>
    </row>
    <row r="61">
      <c r="A61" s="155"/>
      <c r="B61" s="155"/>
      <c r="C61" s="155"/>
      <c r="D61" s="155"/>
      <c r="E61" s="155"/>
      <c r="F61" s="155"/>
      <c r="G61" s="141"/>
      <c r="H61" s="155"/>
      <c r="I61" s="153"/>
      <c r="J61" s="153"/>
      <c r="K61" s="153"/>
      <c r="L61" s="153"/>
      <c r="M61" s="153"/>
      <c r="N61" s="156">
        <f t="shared" ref="N61:N88" si="2">SUM(I61:M61)</f>
        <v>0</v>
      </c>
      <c r="O61" s="141"/>
    </row>
    <row r="62">
      <c r="A62" s="155"/>
      <c r="B62" s="155"/>
      <c r="C62" s="155"/>
      <c r="D62" s="155"/>
      <c r="E62" s="155"/>
      <c r="F62" s="155"/>
      <c r="G62" s="141"/>
      <c r="H62" s="155"/>
      <c r="I62" s="153"/>
      <c r="J62" s="153"/>
      <c r="K62" s="153"/>
      <c r="L62" s="153"/>
      <c r="M62" s="153"/>
      <c r="N62" s="156">
        <f t="shared" si="2"/>
        <v>0</v>
      </c>
      <c r="O62" s="141"/>
    </row>
    <row r="63">
      <c r="A63" s="155"/>
      <c r="B63" s="155"/>
      <c r="C63" s="155"/>
      <c r="D63" s="155"/>
      <c r="E63" s="155"/>
      <c r="F63" s="155"/>
      <c r="G63" s="141"/>
      <c r="H63" s="155"/>
      <c r="I63" s="153"/>
      <c r="J63" s="153"/>
      <c r="K63" s="153"/>
      <c r="L63" s="153"/>
      <c r="M63" s="153"/>
      <c r="N63" s="156">
        <f t="shared" si="2"/>
        <v>0</v>
      </c>
      <c r="O63" s="141"/>
    </row>
    <row r="64">
      <c r="A64" s="155"/>
      <c r="B64" s="155"/>
      <c r="C64" s="155"/>
      <c r="D64" s="155"/>
      <c r="E64" s="155"/>
      <c r="F64" s="155"/>
      <c r="G64" s="141"/>
      <c r="H64" s="155"/>
      <c r="I64" s="153"/>
      <c r="J64" s="153"/>
      <c r="K64" s="153"/>
      <c r="L64" s="153"/>
      <c r="M64" s="153"/>
      <c r="N64" s="156">
        <f t="shared" si="2"/>
        <v>0</v>
      </c>
      <c r="O64" s="141"/>
    </row>
    <row r="65">
      <c r="A65" s="155"/>
      <c r="B65" s="155"/>
      <c r="C65" s="155"/>
      <c r="D65" s="155"/>
      <c r="E65" s="155"/>
      <c r="F65" s="155"/>
      <c r="G65" s="141"/>
      <c r="H65" s="155"/>
      <c r="I65" s="153"/>
      <c r="J65" s="153"/>
      <c r="K65" s="153"/>
      <c r="L65" s="153"/>
      <c r="M65" s="153"/>
      <c r="N65" s="156">
        <f t="shared" si="2"/>
        <v>0</v>
      </c>
      <c r="O65" s="141"/>
    </row>
    <row r="66">
      <c r="A66" s="155"/>
      <c r="B66" s="155"/>
      <c r="C66" s="155"/>
      <c r="D66" s="155"/>
      <c r="E66" s="155"/>
      <c r="F66" s="155"/>
      <c r="G66" s="141"/>
      <c r="H66" s="155"/>
      <c r="I66" s="153"/>
      <c r="J66" s="153"/>
      <c r="K66" s="153"/>
      <c r="L66" s="153"/>
      <c r="M66" s="153"/>
      <c r="N66" s="156">
        <f t="shared" si="2"/>
        <v>0</v>
      </c>
      <c r="O66" s="141"/>
    </row>
    <row r="67">
      <c r="A67" s="155"/>
      <c r="B67" s="155"/>
      <c r="C67" s="155"/>
      <c r="D67" s="155"/>
      <c r="E67" s="155"/>
      <c r="F67" s="155"/>
      <c r="G67" s="141"/>
      <c r="H67" s="155"/>
      <c r="I67" s="153"/>
      <c r="J67" s="153"/>
      <c r="K67" s="153"/>
      <c r="L67" s="153"/>
      <c r="M67" s="153"/>
      <c r="N67" s="156">
        <f t="shared" si="2"/>
        <v>0</v>
      </c>
      <c r="O67" s="141"/>
    </row>
    <row r="68">
      <c r="A68" s="155"/>
      <c r="B68" s="155"/>
      <c r="C68" s="155"/>
      <c r="D68" s="155"/>
      <c r="E68" s="155"/>
      <c r="F68" s="155"/>
      <c r="G68" s="141"/>
      <c r="H68" s="155"/>
      <c r="I68" s="153"/>
      <c r="J68" s="153"/>
      <c r="K68" s="153"/>
      <c r="L68" s="153"/>
      <c r="M68" s="153"/>
      <c r="N68" s="156">
        <f t="shared" si="2"/>
        <v>0</v>
      </c>
      <c r="O68" s="141"/>
    </row>
    <row r="69">
      <c r="A69" s="155"/>
      <c r="B69" s="155"/>
      <c r="C69" s="155"/>
      <c r="D69" s="155"/>
      <c r="E69" s="155"/>
      <c r="F69" s="155"/>
      <c r="G69" s="141"/>
      <c r="H69" s="155"/>
      <c r="I69" s="153"/>
      <c r="J69" s="153"/>
      <c r="K69" s="153"/>
      <c r="L69" s="153"/>
      <c r="M69" s="153"/>
      <c r="N69" s="156">
        <f t="shared" si="2"/>
        <v>0</v>
      </c>
      <c r="O69" s="141"/>
    </row>
    <row r="70">
      <c r="A70" s="155"/>
      <c r="B70" s="155"/>
      <c r="C70" s="155"/>
      <c r="D70" s="155"/>
      <c r="E70" s="155"/>
      <c r="F70" s="155"/>
      <c r="G70" s="141"/>
      <c r="H70" s="155"/>
      <c r="I70" s="153"/>
      <c r="J70" s="153"/>
      <c r="K70" s="153"/>
      <c r="L70" s="153"/>
      <c r="M70" s="153"/>
      <c r="N70" s="156">
        <f t="shared" si="2"/>
        <v>0</v>
      </c>
      <c r="O70" s="141"/>
    </row>
    <row r="71">
      <c r="A71" s="155"/>
      <c r="B71" s="155"/>
      <c r="C71" s="155"/>
      <c r="D71" s="155"/>
      <c r="E71" s="155"/>
      <c r="F71" s="155"/>
      <c r="G71" s="141"/>
      <c r="H71" s="155"/>
      <c r="I71" s="153"/>
      <c r="J71" s="153"/>
      <c r="K71" s="153"/>
      <c r="L71" s="153"/>
      <c r="M71" s="153"/>
      <c r="N71" s="156">
        <f t="shared" si="2"/>
        <v>0</v>
      </c>
      <c r="O71" s="141"/>
    </row>
    <row r="72">
      <c r="A72" s="155"/>
      <c r="B72" s="155"/>
      <c r="C72" s="155"/>
      <c r="D72" s="155"/>
      <c r="E72" s="155"/>
      <c r="F72" s="155"/>
      <c r="G72" s="141"/>
      <c r="H72" s="155"/>
      <c r="I72" s="153"/>
      <c r="J72" s="153"/>
      <c r="K72" s="153"/>
      <c r="L72" s="153"/>
      <c r="M72" s="153"/>
      <c r="N72" s="156">
        <f t="shared" si="2"/>
        <v>0</v>
      </c>
      <c r="O72" s="141"/>
    </row>
    <row r="73">
      <c r="A73" s="155"/>
      <c r="B73" s="155"/>
      <c r="C73" s="155"/>
      <c r="D73" s="155"/>
      <c r="E73" s="155"/>
      <c r="F73" s="155"/>
      <c r="G73" s="141"/>
      <c r="H73" s="155"/>
      <c r="I73" s="153"/>
      <c r="J73" s="153"/>
      <c r="K73" s="153"/>
      <c r="L73" s="153"/>
      <c r="M73" s="153"/>
      <c r="N73" s="156">
        <f t="shared" si="2"/>
        <v>0</v>
      </c>
      <c r="O73" s="141"/>
    </row>
    <row r="74">
      <c r="A74" s="155"/>
      <c r="B74" s="155"/>
      <c r="C74" s="155"/>
      <c r="D74" s="155"/>
      <c r="E74" s="155"/>
      <c r="F74" s="155"/>
      <c r="G74" s="141"/>
      <c r="H74" s="155"/>
      <c r="I74" s="153"/>
      <c r="J74" s="153"/>
      <c r="K74" s="153"/>
      <c r="L74" s="153"/>
      <c r="M74" s="153"/>
      <c r="N74" s="156">
        <f t="shared" si="2"/>
        <v>0</v>
      </c>
      <c r="O74" s="141"/>
    </row>
    <row r="75">
      <c r="A75" s="155"/>
      <c r="B75" s="155"/>
      <c r="C75" s="155"/>
      <c r="D75" s="155"/>
      <c r="E75" s="155"/>
      <c r="F75" s="155"/>
      <c r="G75" s="141"/>
      <c r="H75" s="155"/>
      <c r="I75" s="153"/>
      <c r="J75" s="153"/>
      <c r="K75" s="153"/>
      <c r="L75" s="153"/>
      <c r="M75" s="153"/>
      <c r="N75" s="156">
        <f t="shared" si="2"/>
        <v>0</v>
      </c>
      <c r="O75" s="141"/>
    </row>
    <row r="76">
      <c r="A76" s="155"/>
      <c r="B76" s="155"/>
      <c r="C76" s="155"/>
      <c r="D76" s="155"/>
      <c r="E76" s="155"/>
      <c r="F76" s="155"/>
      <c r="G76" s="141"/>
      <c r="H76" s="155"/>
      <c r="I76" s="153"/>
      <c r="J76" s="153"/>
      <c r="K76" s="153"/>
      <c r="L76" s="153"/>
      <c r="M76" s="153"/>
      <c r="N76" s="156">
        <f t="shared" si="2"/>
        <v>0</v>
      </c>
      <c r="O76" s="141"/>
    </row>
    <row r="77">
      <c r="A77" s="155"/>
      <c r="B77" s="155"/>
      <c r="C77" s="155"/>
      <c r="D77" s="155"/>
      <c r="E77" s="155"/>
      <c r="F77" s="155"/>
      <c r="G77" s="141"/>
      <c r="H77" s="155"/>
      <c r="I77" s="153"/>
      <c r="J77" s="153"/>
      <c r="K77" s="153"/>
      <c r="L77" s="153"/>
      <c r="M77" s="153"/>
      <c r="N77" s="156">
        <f t="shared" si="2"/>
        <v>0</v>
      </c>
      <c r="O77" s="141"/>
    </row>
    <row r="78">
      <c r="A78" s="155"/>
      <c r="B78" s="155"/>
      <c r="C78" s="155"/>
      <c r="D78" s="155"/>
      <c r="E78" s="155"/>
      <c r="F78" s="155"/>
      <c r="G78" s="141"/>
      <c r="H78" s="155"/>
      <c r="I78" s="153"/>
      <c r="J78" s="153"/>
      <c r="K78" s="153"/>
      <c r="L78" s="153"/>
      <c r="M78" s="153"/>
      <c r="N78" s="156">
        <f t="shared" si="2"/>
        <v>0</v>
      </c>
      <c r="O78" s="141"/>
    </row>
    <row r="79">
      <c r="A79" s="155"/>
      <c r="B79" s="155"/>
      <c r="C79" s="155"/>
      <c r="D79" s="155"/>
      <c r="E79" s="155"/>
      <c r="F79" s="155"/>
      <c r="G79" s="141"/>
      <c r="H79" s="155"/>
      <c r="I79" s="153"/>
      <c r="J79" s="153"/>
      <c r="K79" s="153"/>
      <c r="L79" s="153"/>
      <c r="M79" s="153"/>
      <c r="N79" s="156">
        <f t="shared" si="2"/>
        <v>0</v>
      </c>
      <c r="O79" s="141"/>
    </row>
    <row r="80">
      <c r="A80" s="155"/>
      <c r="B80" s="155"/>
      <c r="C80" s="155"/>
      <c r="D80" s="155"/>
      <c r="E80" s="155"/>
      <c r="F80" s="155"/>
      <c r="G80" s="141"/>
      <c r="H80" s="155"/>
      <c r="I80" s="153"/>
      <c r="J80" s="153"/>
      <c r="K80" s="153"/>
      <c r="L80" s="153"/>
      <c r="M80" s="153"/>
      <c r="N80" s="156">
        <f t="shared" si="2"/>
        <v>0</v>
      </c>
      <c r="O80" s="141"/>
    </row>
    <row r="81">
      <c r="A81" s="155"/>
      <c r="B81" s="155"/>
      <c r="C81" s="155"/>
      <c r="D81" s="155"/>
      <c r="E81" s="155"/>
      <c r="F81" s="155"/>
      <c r="G81" s="141"/>
      <c r="H81" s="155"/>
      <c r="I81" s="153"/>
      <c r="J81" s="153"/>
      <c r="K81" s="153"/>
      <c r="L81" s="153"/>
      <c r="M81" s="153"/>
      <c r="N81" s="156">
        <f t="shared" si="2"/>
        <v>0</v>
      </c>
      <c r="O81" s="141"/>
    </row>
    <row r="82">
      <c r="A82" s="155"/>
      <c r="B82" s="155"/>
      <c r="C82" s="155"/>
      <c r="D82" s="155"/>
      <c r="E82" s="155"/>
      <c r="F82" s="155"/>
      <c r="G82" s="141"/>
      <c r="H82" s="155"/>
      <c r="I82" s="153"/>
      <c r="J82" s="153"/>
      <c r="K82" s="153"/>
      <c r="L82" s="153"/>
      <c r="M82" s="153"/>
      <c r="N82" s="156">
        <f t="shared" si="2"/>
        <v>0</v>
      </c>
      <c r="O82" s="141"/>
    </row>
    <row r="83">
      <c r="A83" s="155"/>
      <c r="B83" s="155"/>
      <c r="C83" s="155"/>
      <c r="D83" s="155"/>
      <c r="E83" s="155"/>
      <c r="F83" s="155"/>
      <c r="G83" s="141"/>
      <c r="H83" s="155"/>
      <c r="I83" s="153"/>
      <c r="J83" s="153"/>
      <c r="K83" s="153"/>
      <c r="L83" s="153"/>
      <c r="M83" s="153"/>
      <c r="N83" s="156">
        <f t="shared" si="2"/>
        <v>0</v>
      </c>
      <c r="O83" s="141"/>
    </row>
    <row r="84">
      <c r="A84" s="155"/>
      <c r="B84" s="155"/>
      <c r="C84" s="155"/>
      <c r="D84" s="155"/>
      <c r="E84" s="155"/>
      <c r="F84" s="155"/>
      <c r="G84" s="141"/>
      <c r="H84" s="155"/>
      <c r="I84" s="153"/>
      <c r="J84" s="153"/>
      <c r="K84" s="153"/>
      <c r="L84" s="153"/>
      <c r="M84" s="153"/>
      <c r="N84" s="156">
        <f t="shared" si="2"/>
        <v>0</v>
      </c>
      <c r="O84" s="141"/>
    </row>
    <row r="85">
      <c r="A85" s="155"/>
      <c r="B85" s="155"/>
      <c r="C85" s="155"/>
      <c r="D85" s="155"/>
      <c r="E85" s="155"/>
      <c r="F85" s="155"/>
      <c r="G85" s="141"/>
      <c r="H85" s="155"/>
      <c r="I85" s="153"/>
      <c r="J85" s="153"/>
      <c r="K85" s="153"/>
      <c r="L85" s="153"/>
      <c r="M85" s="153"/>
      <c r="N85" s="156">
        <f t="shared" si="2"/>
        <v>0</v>
      </c>
      <c r="O85" s="141"/>
    </row>
    <row r="86">
      <c r="A86" s="157"/>
      <c r="B86" s="155"/>
      <c r="C86" s="155"/>
      <c r="D86" s="155"/>
      <c r="E86" s="155"/>
      <c r="F86" s="155"/>
      <c r="G86" s="141"/>
      <c r="H86" s="155"/>
      <c r="I86" s="153"/>
      <c r="J86" s="153"/>
      <c r="K86" s="153"/>
      <c r="L86" s="153"/>
      <c r="M86" s="153"/>
      <c r="N86" s="156">
        <f t="shared" si="2"/>
        <v>0</v>
      </c>
      <c r="O86" s="141"/>
    </row>
    <row r="87">
      <c r="A87" s="155"/>
      <c r="B87" s="155"/>
      <c r="C87" s="155"/>
      <c r="D87" s="155"/>
      <c r="E87" s="155"/>
      <c r="F87" s="155"/>
      <c r="G87" s="141"/>
      <c r="H87" s="155"/>
      <c r="I87" s="155"/>
      <c r="J87" s="155"/>
      <c r="K87" s="155"/>
      <c r="L87" s="155"/>
      <c r="M87" s="155"/>
      <c r="N87" s="156">
        <f t="shared" si="2"/>
        <v>0</v>
      </c>
      <c r="O87" s="141"/>
    </row>
    <row r="88">
      <c r="A88" s="155"/>
      <c r="B88" s="155"/>
      <c r="C88" s="155"/>
      <c r="D88" s="155"/>
      <c r="E88" s="155"/>
      <c r="F88" s="155"/>
      <c r="G88" s="141"/>
      <c r="H88" s="155"/>
      <c r="I88" s="155"/>
      <c r="J88" s="155"/>
      <c r="K88" s="155"/>
      <c r="L88" s="155"/>
      <c r="M88" s="155"/>
      <c r="N88" s="156">
        <f t="shared" si="2"/>
        <v>0</v>
      </c>
      <c r="O88" s="141"/>
    </row>
    <row r="89">
      <c r="A89" s="155"/>
      <c r="B89" s="155"/>
      <c r="C89" s="155"/>
      <c r="D89" s="155"/>
      <c r="E89" s="155"/>
      <c r="F89" s="155"/>
      <c r="G89" s="141"/>
      <c r="H89" s="159" t="s">
        <v>21</v>
      </c>
      <c r="I89" s="106"/>
      <c r="J89" s="106"/>
      <c r="K89" s="106"/>
      <c r="L89" s="106"/>
      <c r="M89" s="106"/>
      <c r="N89" s="107"/>
      <c r="O89" s="141"/>
    </row>
    <row r="90">
      <c r="A90" s="155"/>
      <c r="B90" s="155"/>
      <c r="C90" s="155"/>
      <c r="D90" s="155"/>
      <c r="E90" s="155"/>
      <c r="F90" s="155"/>
      <c r="G90" s="141"/>
      <c r="H90" s="155"/>
      <c r="I90" s="155"/>
      <c r="J90" s="155"/>
      <c r="K90" s="155"/>
      <c r="L90" s="155"/>
      <c r="M90" s="159">
        <f>SUM(N60:N88)</f>
        <v>0</v>
      </c>
      <c r="N90" s="107"/>
      <c r="O90" s="141"/>
    </row>
    <row r="91">
      <c r="A91" s="155"/>
      <c r="B91" s="155"/>
      <c r="C91" s="155"/>
      <c r="D91" s="155"/>
      <c r="E91" s="155"/>
      <c r="F91" s="155"/>
      <c r="G91" s="141"/>
      <c r="O91" s="141"/>
    </row>
    <row r="92">
      <c r="A92" s="155"/>
      <c r="B92" s="155"/>
      <c r="C92" s="155"/>
      <c r="D92" s="155"/>
      <c r="E92" s="155"/>
      <c r="F92" s="155"/>
      <c r="G92" s="141"/>
      <c r="H92" s="141"/>
      <c r="I92" s="141"/>
      <c r="J92" s="141"/>
      <c r="K92" s="141"/>
      <c r="L92" s="141"/>
      <c r="M92" s="141"/>
      <c r="N92" s="141"/>
      <c r="O92" s="141"/>
    </row>
    <row r="93">
      <c r="A93" s="155"/>
      <c r="B93" s="155"/>
      <c r="C93" s="155"/>
      <c r="D93" s="155"/>
      <c r="E93" s="155"/>
      <c r="F93" s="155"/>
      <c r="G93" s="141"/>
      <c r="H93" s="160" t="s">
        <v>22</v>
      </c>
      <c r="I93" s="64"/>
      <c r="J93" s="64"/>
      <c r="K93" s="64"/>
      <c r="L93" s="64"/>
      <c r="M93" s="64"/>
      <c r="N93" s="64"/>
      <c r="O93" s="141"/>
    </row>
    <row r="94">
      <c r="A94" s="155"/>
      <c r="B94" s="155"/>
      <c r="C94" s="155"/>
      <c r="D94" s="155"/>
      <c r="E94" s="155"/>
      <c r="F94" s="155"/>
      <c r="G94" s="141"/>
      <c r="H94" s="141"/>
      <c r="I94" s="141"/>
      <c r="J94" s="141"/>
      <c r="K94" s="141"/>
      <c r="L94" s="141"/>
      <c r="M94" s="141"/>
      <c r="N94" s="141"/>
      <c r="O94" s="141"/>
    </row>
    <row r="95">
      <c r="A95" s="155"/>
      <c r="B95" s="155"/>
      <c r="C95" s="155"/>
      <c r="D95" s="155"/>
      <c r="E95" s="155"/>
      <c r="F95" s="155"/>
      <c r="G95" s="141"/>
      <c r="H95" s="141"/>
      <c r="I95" s="141"/>
      <c r="J95" s="141"/>
      <c r="K95" s="141"/>
      <c r="L95" s="141"/>
      <c r="M95" s="141"/>
      <c r="N95" s="141"/>
      <c r="O95" s="141"/>
    </row>
    <row r="96">
      <c r="A96" s="155"/>
      <c r="B96" s="155"/>
      <c r="C96" s="155"/>
      <c r="D96" s="155"/>
      <c r="E96" s="155"/>
      <c r="F96" s="155"/>
      <c r="G96" s="141"/>
      <c r="H96" s="141"/>
      <c r="I96" s="141"/>
      <c r="J96" s="141"/>
      <c r="K96" s="141"/>
      <c r="L96" s="141"/>
      <c r="M96" s="141"/>
      <c r="N96" s="141"/>
      <c r="O96" s="141"/>
    </row>
    <row r="97">
      <c r="A97" s="155"/>
      <c r="B97" s="155"/>
      <c r="C97" s="155"/>
      <c r="D97" s="155"/>
      <c r="E97" s="155"/>
      <c r="F97" s="155"/>
      <c r="G97" s="141"/>
      <c r="H97" s="141"/>
      <c r="I97" s="141"/>
      <c r="J97" s="141"/>
      <c r="K97" s="141"/>
      <c r="L97" s="141"/>
      <c r="M97" s="141"/>
      <c r="N97" s="141"/>
      <c r="O97" s="141"/>
    </row>
    <row r="98">
      <c r="A98" s="155"/>
      <c r="B98" s="155"/>
      <c r="C98" s="155"/>
      <c r="D98" s="155"/>
      <c r="E98" s="155"/>
      <c r="F98" s="155"/>
      <c r="G98" s="141"/>
      <c r="H98" s="141"/>
      <c r="I98" s="141"/>
      <c r="J98" s="141"/>
      <c r="K98" s="141"/>
      <c r="L98" s="141"/>
      <c r="M98" s="141"/>
      <c r="N98" s="141"/>
      <c r="O98" s="141"/>
    </row>
    <row r="99">
      <c r="A99" s="155"/>
      <c r="B99" s="155"/>
      <c r="C99" s="155"/>
      <c r="D99" s="155"/>
      <c r="E99" s="155"/>
      <c r="F99" s="155"/>
      <c r="G99" s="141"/>
      <c r="H99" s="141"/>
      <c r="I99" s="141"/>
      <c r="J99" s="141"/>
      <c r="K99" s="141"/>
      <c r="L99" s="141"/>
      <c r="M99" s="141"/>
      <c r="N99" s="141"/>
      <c r="O99" s="141"/>
    </row>
    <row r="100">
      <c r="A100" s="155"/>
      <c r="B100" s="155"/>
      <c r="C100" s="155"/>
      <c r="D100" s="155"/>
      <c r="E100" s="155"/>
      <c r="F100" s="155"/>
      <c r="G100" s="141"/>
      <c r="H100" s="161" t="s">
        <v>1</v>
      </c>
      <c r="I100" s="12"/>
      <c r="J100" s="12"/>
      <c r="K100" s="12"/>
      <c r="L100" s="12"/>
      <c r="M100" s="12"/>
      <c r="N100" s="13"/>
      <c r="O100" s="141"/>
    </row>
    <row r="101">
      <c r="A101" s="155"/>
      <c r="B101" s="155"/>
      <c r="C101" s="155"/>
      <c r="D101" s="155"/>
      <c r="E101" s="155"/>
      <c r="F101" s="155"/>
      <c r="G101" s="141"/>
      <c r="H101" s="63"/>
      <c r="I101" s="64"/>
      <c r="J101" s="64"/>
      <c r="K101" s="64"/>
      <c r="L101" s="64"/>
      <c r="M101" s="64"/>
      <c r="N101" s="65"/>
      <c r="O101" s="141"/>
    </row>
    <row r="102">
      <c r="A102" s="155"/>
      <c r="B102" s="155"/>
      <c r="C102" s="155"/>
      <c r="D102" s="155"/>
      <c r="E102" s="155"/>
      <c r="F102" s="155"/>
      <c r="G102" s="141"/>
      <c r="H102" s="141"/>
      <c r="I102" s="141"/>
      <c r="J102" s="141"/>
      <c r="K102" s="141"/>
      <c r="L102" s="141"/>
      <c r="M102" s="141"/>
      <c r="N102" s="141"/>
      <c r="O102" s="141"/>
    </row>
    <row r="103">
      <c r="A103" s="155"/>
      <c r="B103" s="155"/>
      <c r="C103" s="155"/>
      <c r="D103" s="155"/>
      <c r="E103" s="155"/>
      <c r="F103" s="155"/>
      <c r="G103" s="141"/>
      <c r="H103" s="162" t="s">
        <v>3</v>
      </c>
      <c r="I103" s="163" t="s">
        <v>9</v>
      </c>
      <c r="J103" s="5"/>
      <c r="K103" s="6"/>
      <c r="L103" s="163" t="s">
        <v>10</v>
      </c>
      <c r="M103" s="5"/>
      <c r="N103" s="6"/>
      <c r="O103" s="141"/>
    </row>
    <row r="104">
      <c r="A104" s="155"/>
      <c r="B104" s="155"/>
      <c r="C104" s="155"/>
      <c r="D104" s="155"/>
      <c r="E104" s="155"/>
      <c r="F104" s="155"/>
      <c r="G104" s="141"/>
      <c r="H104" s="164">
        <f>SUM(B111,M90)</f>
        <v>0</v>
      </c>
      <c r="I104" s="165">
        <f>COUNT(F59:F109,I60:M88)</f>
        <v>0</v>
      </c>
      <c r="J104" s="12"/>
      <c r="K104" s="13"/>
      <c r="L104" s="165">
        <f>SUM(F59:F109)+COUNT(I60:M88)</f>
        <v>0</v>
      </c>
      <c r="M104" s="12"/>
      <c r="N104" s="13"/>
      <c r="O104" s="141"/>
    </row>
    <row r="105">
      <c r="A105" s="155"/>
      <c r="B105" s="155"/>
      <c r="C105" s="155"/>
      <c r="D105" s="155"/>
      <c r="E105" s="155"/>
      <c r="F105" s="155"/>
      <c r="G105" s="141"/>
      <c r="H105" s="69"/>
      <c r="I105" s="63"/>
      <c r="J105" s="64"/>
      <c r="K105" s="65"/>
      <c r="L105" s="63"/>
      <c r="M105" s="64"/>
      <c r="N105" s="65"/>
      <c r="O105" s="141"/>
    </row>
    <row r="106">
      <c r="A106" s="155"/>
      <c r="B106" s="155"/>
      <c r="C106" s="155"/>
      <c r="D106" s="155"/>
      <c r="E106" s="155"/>
      <c r="F106" s="155"/>
      <c r="G106" s="141"/>
      <c r="H106" s="141"/>
      <c r="I106" s="141"/>
      <c r="J106" s="141"/>
      <c r="K106" s="141"/>
      <c r="L106" s="141"/>
      <c r="M106" s="141"/>
      <c r="N106" s="141"/>
      <c r="O106" s="141"/>
    </row>
    <row r="107">
      <c r="A107" s="155"/>
      <c r="B107" s="155"/>
      <c r="C107" s="155"/>
      <c r="D107" s="155"/>
      <c r="E107" s="155"/>
      <c r="F107" s="155"/>
      <c r="G107" s="141"/>
      <c r="H107" s="141"/>
      <c r="I107" s="141"/>
      <c r="J107" s="141"/>
      <c r="K107" s="141"/>
      <c r="L107" s="141"/>
      <c r="M107" s="141"/>
      <c r="N107" s="141"/>
      <c r="O107" s="141"/>
    </row>
    <row r="108">
      <c r="A108" s="166"/>
      <c r="B108" s="166"/>
      <c r="C108" s="166"/>
      <c r="D108" s="166"/>
      <c r="E108" s="166"/>
      <c r="F108" s="166"/>
      <c r="G108" s="141"/>
      <c r="H108" s="141"/>
      <c r="I108" s="141"/>
      <c r="J108" s="141"/>
      <c r="K108" s="141"/>
      <c r="L108" s="141"/>
      <c r="M108" s="141"/>
      <c r="N108" s="141"/>
      <c r="O108" s="141"/>
    </row>
    <row r="109">
      <c r="A109" s="166"/>
      <c r="B109" s="166"/>
      <c r="C109" s="166"/>
      <c r="D109" s="166"/>
      <c r="E109" s="166"/>
      <c r="F109" s="166"/>
      <c r="G109" s="141"/>
      <c r="H109" s="141"/>
      <c r="I109" s="141"/>
      <c r="J109" s="141"/>
      <c r="K109" s="141"/>
      <c r="L109" s="141"/>
      <c r="M109" s="141"/>
      <c r="N109" s="141"/>
      <c r="O109" s="141"/>
    </row>
    <row r="110">
      <c r="A110" s="168" t="s">
        <v>1</v>
      </c>
      <c r="B110" s="5"/>
      <c r="C110" s="5"/>
      <c r="D110" s="5"/>
      <c r="E110" s="5"/>
      <c r="F110" s="5"/>
      <c r="G110" s="141"/>
      <c r="H110" s="141"/>
      <c r="I110" s="141"/>
      <c r="J110" s="141"/>
      <c r="K110" s="141"/>
      <c r="L110" s="141"/>
      <c r="M110" s="141"/>
      <c r="N110" s="141"/>
      <c r="O110" s="141"/>
    </row>
    <row r="111">
      <c r="A111" s="169"/>
      <c r="B111" s="148">
        <f>SUM(B59:B109)</f>
        <v>0</v>
      </c>
      <c r="C111" s="170" t="s">
        <v>11</v>
      </c>
      <c r="D111" s="171"/>
      <c r="E111" s="171"/>
      <c r="F111" s="148">
        <f>SUM(F59:F109)</f>
        <v>0</v>
      </c>
      <c r="H111" s="141"/>
      <c r="I111" s="141"/>
      <c r="J111" s="141"/>
      <c r="K111" s="141"/>
      <c r="L111" s="141"/>
      <c r="M111" s="141"/>
      <c r="N111" s="141"/>
      <c r="O111" s="141"/>
    </row>
    <row r="112">
      <c r="A112" s="141"/>
      <c r="B112" s="141"/>
      <c r="C112" s="141"/>
      <c r="D112" s="141"/>
      <c r="E112" s="141"/>
      <c r="F112" s="141"/>
      <c r="O112" s="141"/>
    </row>
    <row r="113">
      <c r="A113" s="174" t="s">
        <v>24</v>
      </c>
      <c r="B113" s="143"/>
      <c r="C113" s="143"/>
      <c r="D113" s="144"/>
      <c r="E113" s="144"/>
      <c r="F113" s="144"/>
      <c r="G113" s="143"/>
      <c r="H113" s="146"/>
      <c r="I113" s="143"/>
      <c r="J113" s="147">
        <f>TODAY()</f>
        <v>46173</v>
      </c>
      <c r="K113" s="5"/>
      <c r="L113" s="5"/>
      <c r="M113" s="5"/>
      <c r="N113" s="6"/>
      <c r="O113" s="141"/>
    </row>
    <row r="114">
      <c r="A114" s="148" t="s">
        <v>2</v>
      </c>
      <c r="B114" s="149" t="s">
        <v>3</v>
      </c>
      <c r="C114" s="148" t="s">
        <v>4</v>
      </c>
      <c r="D114" s="148" t="s">
        <v>5</v>
      </c>
      <c r="E114" s="148" t="s">
        <v>6</v>
      </c>
      <c r="F114" s="148" t="s">
        <v>7</v>
      </c>
      <c r="G114" s="141"/>
      <c r="H114" s="150" t="s">
        <v>2</v>
      </c>
      <c r="I114" s="151"/>
      <c r="J114" s="151"/>
      <c r="K114" s="151"/>
      <c r="L114" s="151"/>
      <c r="M114" s="151"/>
      <c r="N114" s="152" t="s">
        <v>3</v>
      </c>
      <c r="O114" s="141"/>
    </row>
    <row r="115">
      <c r="A115" s="153"/>
      <c r="B115" s="153"/>
      <c r="C115" s="153"/>
      <c r="D115" s="153"/>
      <c r="E115" s="153"/>
      <c r="F115" s="153"/>
      <c r="G115" s="141"/>
      <c r="H115" s="153"/>
      <c r="I115" s="153"/>
      <c r="J115" s="153"/>
      <c r="K115" s="153"/>
      <c r="L115" s="153"/>
      <c r="M115" s="153"/>
      <c r="N115" s="154">
        <f t="shared" ref="N115:N123" si="3">SUM(I115:M115)</f>
        <v>0</v>
      </c>
      <c r="O115" s="141"/>
    </row>
    <row r="116">
      <c r="A116" s="155"/>
      <c r="B116" s="155"/>
      <c r="C116" s="155"/>
      <c r="D116" s="155"/>
      <c r="E116" s="155"/>
      <c r="F116" s="155"/>
      <c r="G116" s="141"/>
      <c r="H116" s="155"/>
      <c r="I116" s="153"/>
      <c r="J116" s="153"/>
      <c r="K116" s="153"/>
      <c r="L116" s="153"/>
      <c r="M116" s="153"/>
      <c r="N116" s="156">
        <f t="shared" si="3"/>
        <v>0</v>
      </c>
      <c r="O116" s="141"/>
    </row>
    <row r="117">
      <c r="A117" s="155"/>
      <c r="B117" s="155"/>
      <c r="C117" s="155"/>
      <c r="D117" s="155"/>
      <c r="E117" s="155"/>
      <c r="F117" s="155"/>
      <c r="G117" s="141"/>
      <c r="H117" s="155"/>
      <c r="I117" s="153"/>
      <c r="J117" s="153"/>
      <c r="K117" s="153"/>
      <c r="L117" s="153"/>
      <c r="M117" s="153"/>
      <c r="N117" s="156">
        <f t="shared" si="3"/>
        <v>0</v>
      </c>
      <c r="O117" s="141"/>
    </row>
    <row r="118">
      <c r="A118" s="155"/>
      <c r="B118" s="155"/>
      <c r="C118" s="155"/>
      <c r="D118" s="155"/>
      <c r="E118" s="155"/>
      <c r="F118" s="155"/>
      <c r="G118" s="141"/>
      <c r="H118" s="155"/>
      <c r="I118" s="153"/>
      <c r="J118" s="153"/>
      <c r="K118" s="153"/>
      <c r="L118" s="153"/>
      <c r="M118" s="153"/>
      <c r="N118" s="156">
        <f t="shared" si="3"/>
        <v>0</v>
      </c>
      <c r="O118" s="141"/>
    </row>
    <row r="119">
      <c r="A119" s="155"/>
      <c r="B119" s="155"/>
      <c r="C119" s="155"/>
      <c r="D119" s="155"/>
      <c r="E119" s="155"/>
      <c r="F119" s="155"/>
      <c r="G119" s="141"/>
      <c r="H119" s="155"/>
      <c r="I119" s="153"/>
      <c r="J119" s="153"/>
      <c r="K119" s="153"/>
      <c r="L119" s="153"/>
      <c r="M119" s="153"/>
      <c r="N119" s="156">
        <f t="shared" si="3"/>
        <v>0</v>
      </c>
      <c r="O119" s="141"/>
    </row>
    <row r="120">
      <c r="A120" s="155"/>
      <c r="B120" s="155"/>
      <c r="C120" s="155"/>
      <c r="D120" s="155"/>
      <c r="E120" s="155"/>
      <c r="F120" s="155"/>
      <c r="G120" s="141"/>
      <c r="H120" s="155"/>
      <c r="I120" s="153"/>
      <c r="J120" s="153"/>
      <c r="K120" s="153"/>
      <c r="L120" s="153"/>
      <c r="M120" s="153"/>
      <c r="N120" s="156">
        <f t="shared" si="3"/>
        <v>0</v>
      </c>
      <c r="O120" s="141"/>
    </row>
    <row r="121">
      <c r="A121" s="155"/>
      <c r="B121" s="155"/>
      <c r="C121" s="155"/>
      <c r="D121" s="155"/>
      <c r="E121" s="155"/>
      <c r="F121" s="155"/>
      <c r="G121" s="141"/>
      <c r="H121" s="155"/>
      <c r="I121" s="153"/>
      <c r="J121" s="153"/>
      <c r="K121" s="153"/>
      <c r="L121" s="153"/>
      <c r="M121" s="153"/>
      <c r="N121" s="156">
        <f t="shared" si="3"/>
        <v>0</v>
      </c>
      <c r="O121" s="141"/>
    </row>
    <row r="122">
      <c r="A122" s="155"/>
      <c r="B122" s="155"/>
      <c r="C122" s="155"/>
      <c r="D122" s="155"/>
      <c r="E122" s="155"/>
      <c r="F122" s="155"/>
      <c r="G122" s="141"/>
      <c r="H122" s="155"/>
      <c r="I122" s="153"/>
      <c r="J122" s="153"/>
      <c r="K122" s="153"/>
      <c r="L122" s="153"/>
      <c r="M122" s="153"/>
      <c r="N122" s="156">
        <f t="shared" si="3"/>
        <v>0</v>
      </c>
      <c r="O122" s="141"/>
    </row>
    <row r="123">
      <c r="A123" s="155"/>
      <c r="B123" s="155"/>
      <c r="C123" s="155"/>
      <c r="D123" s="155"/>
      <c r="E123" s="155"/>
      <c r="F123" s="155"/>
      <c r="G123" s="141"/>
      <c r="H123" s="155"/>
      <c r="I123" s="153"/>
      <c r="J123" s="153"/>
      <c r="K123" s="153"/>
      <c r="L123" s="153"/>
      <c r="M123" s="153"/>
      <c r="N123" s="156">
        <f t="shared" si="3"/>
        <v>0</v>
      </c>
      <c r="O123" s="141"/>
    </row>
    <row r="124">
      <c r="A124" s="155"/>
      <c r="B124" s="155"/>
      <c r="C124" s="155"/>
      <c r="D124" s="155"/>
      <c r="E124" s="155"/>
      <c r="F124" s="155"/>
      <c r="G124" s="141"/>
      <c r="H124" s="155"/>
      <c r="I124" s="153"/>
      <c r="J124" s="153"/>
      <c r="K124" s="153"/>
      <c r="L124" s="153"/>
      <c r="M124" s="153"/>
      <c r="N124" s="175">
        <v>0.0</v>
      </c>
      <c r="O124" s="141"/>
    </row>
    <row r="125">
      <c r="A125" s="155"/>
      <c r="B125" s="155"/>
      <c r="C125" s="155"/>
      <c r="D125" s="155"/>
      <c r="E125" s="155"/>
      <c r="F125" s="155"/>
      <c r="G125" s="141"/>
      <c r="H125" s="155"/>
      <c r="I125" s="153"/>
      <c r="J125" s="153"/>
      <c r="K125" s="153"/>
      <c r="L125" s="153"/>
      <c r="M125" s="153"/>
      <c r="N125" s="156">
        <f t="shared" ref="N125:N135" si="4">SUM(I125:M125)</f>
        <v>0</v>
      </c>
      <c r="O125" s="141"/>
    </row>
    <row r="126">
      <c r="A126" s="155"/>
      <c r="B126" s="155"/>
      <c r="C126" s="155"/>
      <c r="D126" s="155"/>
      <c r="E126" s="155"/>
      <c r="F126" s="155"/>
      <c r="G126" s="141"/>
      <c r="H126" s="155"/>
      <c r="I126" s="153"/>
      <c r="J126" s="153"/>
      <c r="K126" s="153"/>
      <c r="L126" s="153"/>
      <c r="M126" s="153"/>
      <c r="N126" s="156">
        <f t="shared" si="4"/>
        <v>0</v>
      </c>
      <c r="O126" s="141"/>
    </row>
    <row r="127">
      <c r="A127" s="155"/>
      <c r="B127" s="155"/>
      <c r="C127" s="155"/>
      <c r="D127" s="155"/>
      <c r="E127" s="155"/>
      <c r="F127" s="155"/>
      <c r="G127" s="141"/>
      <c r="H127" s="155"/>
      <c r="I127" s="153"/>
      <c r="J127" s="153"/>
      <c r="K127" s="153"/>
      <c r="L127" s="153"/>
      <c r="M127" s="153"/>
      <c r="N127" s="156">
        <f t="shared" si="4"/>
        <v>0</v>
      </c>
      <c r="O127" s="141"/>
    </row>
    <row r="128">
      <c r="A128" s="155"/>
      <c r="B128" s="155"/>
      <c r="C128" s="155"/>
      <c r="D128" s="155"/>
      <c r="E128" s="155"/>
      <c r="F128" s="155"/>
      <c r="G128" s="141"/>
      <c r="H128" s="155"/>
      <c r="I128" s="153"/>
      <c r="J128" s="153"/>
      <c r="K128" s="153"/>
      <c r="L128" s="153"/>
      <c r="M128" s="153"/>
      <c r="N128" s="156">
        <f t="shared" si="4"/>
        <v>0</v>
      </c>
      <c r="O128" s="141"/>
    </row>
    <row r="129">
      <c r="A129" s="155"/>
      <c r="B129" s="155"/>
      <c r="C129" s="155"/>
      <c r="D129" s="155"/>
      <c r="E129" s="155"/>
      <c r="F129" s="155"/>
      <c r="G129" s="141"/>
      <c r="H129" s="155"/>
      <c r="I129" s="153"/>
      <c r="J129" s="153"/>
      <c r="K129" s="153"/>
      <c r="L129" s="153"/>
      <c r="M129" s="153"/>
      <c r="N129" s="156">
        <f t="shared" si="4"/>
        <v>0</v>
      </c>
      <c r="O129" s="141"/>
    </row>
    <row r="130">
      <c r="A130" s="155"/>
      <c r="B130" s="155"/>
      <c r="C130" s="155"/>
      <c r="D130" s="155"/>
      <c r="E130" s="155"/>
      <c r="F130" s="155"/>
      <c r="G130" s="141"/>
      <c r="H130" s="155"/>
      <c r="I130" s="153"/>
      <c r="J130" s="153"/>
      <c r="K130" s="153"/>
      <c r="L130" s="153"/>
      <c r="M130" s="153"/>
      <c r="N130" s="156">
        <f t="shared" si="4"/>
        <v>0</v>
      </c>
      <c r="O130" s="141"/>
    </row>
    <row r="131">
      <c r="A131" s="155"/>
      <c r="B131" s="155"/>
      <c r="C131" s="155"/>
      <c r="D131" s="155"/>
      <c r="E131" s="155"/>
      <c r="F131" s="155"/>
      <c r="G131" s="141"/>
      <c r="H131" s="155"/>
      <c r="I131" s="153"/>
      <c r="J131" s="153"/>
      <c r="K131" s="153"/>
      <c r="L131" s="153"/>
      <c r="M131" s="153"/>
      <c r="N131" s="156">
        <f t="shared" si="4"/>
        <v>0</v>
      </c>
      <c r="O131" s="141"/>
    </row>
    <row r="132">
      <c r="A132" s="155"/>
      <c r="B132" s="155"/>
      <c r="C132" s="155"/>
      <c r="D132" s="155"/>
      <c r="E132" s="155"/>
      <c r="F132" s="155"/>
      <c r="G132" s="141"/>
      <c r="H132" s="155"/>
      <c r="I132" s="153"/>
      <c r="J132" s="153"/>
      <c r="K132" s="153"/>
      <c r="L132" s="153"/>
      <c r="M132" s="153"/>
      <c r="N132" s="156">
        <f t="shared" si="4"/>
        <v>0</v>
      </c>
      <c r="O132" s="141"/>
    </row>
    <row r="133">
      <c r="A133" s="155"/>
      <c r="B133" s="155"/>
      <c r="C133" s="155"/>
      <c r="D133" s="155"/>
      <c r="E133" s="155"/>
      <c r="F133" s="155"/>
      <c r="G133" s="141"/>
      <c r="H133" s="155"/>
      <c r="I133" s="153"/>
      <c r="J133" s="153"/>
      <c r="K133" s="153"/>
      <c r="L133" s="153"/>
      <c r="M133" s="153"/>
      <c r="N133" s="156">
        <f t="shared" si="4"/>
        <v>0</v>
      </c>
      <c r="O133" s="141"/>
    </row>
    <row r="134">
      <c r="A134" s="155"/>
      <c r="B134" s="155"/>
      <c r="C134" s="155"/>
      <c r="D134" s="155"/>
      <c r="E134" s="155"/>
      <c r="F134" s="155"/>
      <c r="G134" s="141"/>
      <c r="H134" s="155"/>
      <c r="I134" s="153"/>
      <c r="J134" s="153"/>
      <c r="K134" s="153"/>
      <c r="L134" s="153"/>
      <c r="M134" s="153"/>
      <c r="N134" s="156">
        <f t="shared" si="4"/>
        <v>0</v>
      </c>
      <c r="O134" s="141"/>
    </row>
    <row r="135">
      <c r="A135" s="155"/>
      <c r="B135" s="155"/>
      <c r="C135" s="155"/>
      <c r="D135" s="155"/>
      <c r="E135" s="155"/>
      <c r="F135" s="155"/>
      <c r="G135" s="141"/>
      <c r="H135" s="155"/>
      <c r="I135" s="153"/>
      <c r="J135" s="153"/>
      <c r="K135" s="153"/>
      <c r="L135" s="153"/>
      <c r="M135" s="153"/>
      <c r="N135" s="156">
        <f t="shared" si="4"/>
        <v>0</v>
      </c>
      <c r="O135" s="141"/>
    </row>
    <row r="136">
      <c r="A136" s="155"/>
      <c r="B136" s="155"/>
      <c r="C136" s="155"/>
      <c r="D136" s="155"/>
      <c r="E136" s="155"/>
      <c r="F136" s="155"/>
      <c r="G136" s="141"/>
      <c r="H136" s="155"/>
      <c r="I136" s="153"/>
      <c r="J136" s="153"/>
      <c r="K136" s="153"/>
      <c r="L136" s="153"/>
      <c r="M136" s="153"/>
      <c r="N136" s="156">
        <v>0.0</v>
      </c>
      <c r="O136" s="141"/>
    </row>
    <row r="137">
      <c r="A137" s="155"/>
      <c r="B137" s="155"/>
      <c r="C137" s="155"/>
      <c r="D137" s="155"/>
      <c r="E137" s="155"/>
      <c r="F137" s="155"/>
      <c r="G137" s="141"/>
      <c r="H137" s="155"/>
      <c r="I137" s="153"/>
      <c r="J137" s="153"/>
      <c r="K137" s="153"/>
      <c r="L137" s="153"/>
      <c r="M137" s="153"/>
      <c r="N137" s="156">
        <f>SUM(I137:M137)</f>
        <v>0</v>
      </c>
      <c r="O137" s="141"/>
    </row>
    <row r="138">
      <c r="A138" s="155"/>
      <c r="B138" s="155"/>
      <c r="C138" s="155"/>
      <c r="D138" s="155"/>
      <c r="E138" s="155"/>
      <c r="F138" s="155"/>
      <c r="G138" s="141"/>
      <c r="H138" s="155"/>
      <c r="I138" s="153"/>
      <c r="J138" s="153"/>
      <c r="K138" s="153"/>
      <c r="L138" s="153"/>
      <c r="M138" s="153"/>
      <c r="N138" s="156">
        <v>0.0</v>
      </c>
      <c r="O138" s="141"/>
    </row>
    <row r="139">
      <c r="A139" s="155"/>
      <c r="B139" s="155"/>
      <c r="C139" s="155"/>
      <c r="D139" s="155"/>
      <c r="E139" s="155"/>
      <c r="F139" s="155"/>
      <c r="G139" s="141"/>
      <c r="H139" s="155"/>
      <c r="I139" s="153"/>
      <c r="J139" s="153"/>
      <c r="K139" s="153"/>
      <c r="L139" s="153"/>
      <c r="M139" s="153"/>
      <c r="N139" s="156">
        <f>SUM(I139:M139)</f>
        <v>0</v>
      </c>
      <c r="O139" s="141"/>
    </row>
    <row r="140">
      <c r="A140" s="155"/>
      <c r="B140" s="155"/>
      <c r="C140" s="155"/>
      <c r="D140" s="155"/>
      <c r="E140" s="155"/>
      <c r="F140" s="155"/>
      <c r="G140" s="141"/>
      <c r="H140" s="155"/>
      <c r="I140" s="153"/>
      <c r="J140" s="153"/>
      <c r="K140" s="153"/>
      <c r="L140" s="153"/>
      <c r="M140" s="153"/>
      <c r="N140" s="156">
        <v>0.0</v>
      </c>
      <c r="O140" s="141"/>
    </row>
    <row r="141">
      <c r="A141" s="153"/>
      <c r="B141" s="153"/>
      <c r="C141" s="155"/>
      <c r="D141" s="155"/>
      <c r="E141" s="155"/>
      <c r="F141" s="155"/>
      <c r="G141" s="141"/>
      <c r="H141" s="155"/>
      <c r="I141" s="153"/>
      <c r="J141" s="153"/>
      <c r="K141" s="153"/>
      <c r="L141" s="153"/>
      <c r="M141" s="153"/>
      <c r="N141" s="156">
        <f t="shared" ref="N141:N143" si="5">SUM(I141:M141)</f>
        <v>0</v>
      </c>
      <c r="O141" s="141"/>
    </row>
    <row r="142">
      <c r="A142" s="155"/>
      <c r="B142" s="155"/>
      <c r="C142" s="155"/>
      <c r="D142" s="155"/>
      <c r="E142" s="155"/>
      <c r="F142" s="155"/>
      <c r="G142" s="141"/>
      <c r="H142" s="155"/>
      <c r="I142" s="155"/>
      <c r="J142" s="155"/>
      <c r="K142" s="155"/>
      <c r="L142" s="155"/>
      <c r="M142" s="155"/>
      <c r="N142" s="156">
        <f t="shared" si="5"/>
        <v>0</v>
      </c>
      <c r="O142" s="141"/>
    </row>
    <row r="143">
      <c r="A143" s="155"/>
      <c r="B143" s="155"/>
      <c r="C143" s="155"/>
      <c r="D143" s="155"/>
      <c r="E143" s="155"/>
      <c r="F143" s="155"/>
      <c r="G143" s="141"/>
      <c r="H143" s="155"/>
      <c r="I143" s="155"/>
      <c r="J143" s="155"/>
      <c r="K143" s="155"/>
      <c r="L143" s="155"/>
      <c r="M143" s="155"/>
      <c r="N143" s="156">
        <f t="shared" si="5"/>
        <v>0</v>
      </c>
      <c r="O143" s="141"/>
    </row>
    <row r="144">
      <c r="A144" s="158"/>
      <c r="B144" s="158"/>
      <c r="C144" s="155"/>
      <c r="D144" s="155"/>
      <c r="E144" s="155"/>
      <c r="F144" s="155"/>
      <c r="G144" s="141"/>
      <c r="H144" s="159" t="s">
        <v>21</v>
      </c>
      <c r="I144" s="106"/>
      <c r="J144" s="106"/>
      <c r="K144" s="106"/>
      <c r="L144" s="106"/>
      <c r="M144" s="106"/>
      <c r="N144" s="107"/>
      <c r="O144" s="141"/>
    </row>
    <row r="145">
      <c r="A145" s="155"/>
      <c r="B145" s="155"/>
      <c r="C145" s="155"/>
      <c r="D145" s="155"/>
      <c r="E145" s="155"/>
      <c r="F145" s="155"/>
      <c r="G145" s="141"/>
      <c r="H145" s="155"/>
      <c r="I145" s="155"/>
      <c r="J145" s="155"/>
      <c r="K145" s="155"/>
      <c r="L145" s="155"/>
      <c r="M145" s="159">
        <f>SUM(N115:N143)</f>
        <v>0</v>
      </c>
      <c r="N145" s="107"/>
      <c r="O145" s="141"/>
    </row>
    <row r="146">
      <c r="A146" s="155"/>
      <c r="B146" s="155"/>
      <c r="C146" s="155"/>
      <c r="D146" s="155"/>
      <c r="E146" s="155"/>
      <c r="F146" s="155"/>
      <c r="G146" s="141"/>
      <c r="O146" s="141"/>
    </row>
    <row r="147">
      <c r="A147" s="155"/>
      <c r="B147" s="155"/>
      <c r="C147" s="155"/>
      <c r="D147" s="155"/>
      <c r="E147" s="155"/>
      <c r="F147" s="155"/>
      <c r="G147" s="141"/>
      <c r="H147" s="141"/>
      <c r="I147" s="141"/>
      <c r="J147" s="141"/>
      <c r="K147" s="141"/>
      <c r="L147" s="141"/>
      <c r="M147" s="141"/>
      <c r="N147" s="141"/>
      <c r="O147" s="141"/>
    </row>
    <row r="148">
      <c r="A148" s="155"/>
      <c r="B148" s="155"/>
      <c r="C148" s="155"/>
      <c r="D148" s="155"/>
      <c r="E148" s="155"/>
      <c r="F148" s="155"/>
      <c r="G148" s="141"/>
      <c r="H148" s="160" t="s">
        <v>22</v>
      </c>
      <c r="I148" s="64"/>
      <c r="J148" s="64"/>
      <c r="K148" s="64"/>
      <c r="L148" s="64"/>
      <c r="M148" s="64"/>
      <c r="N148" s="64"/>
      <c r="O148" s="141"/>
    </row>
    <row r="149">
      <c r="A149" s="155"/>
      <c r="B149" s="155"/>
      <c r="C149" s="155"/>
      <c r="D149" s="155"/>
      <c r="E149" s="155"/>
      <c r="F149" s="155"/>
      <c r="G149" s="141"/>
      <c r="H149" s="141"/>
      <c r="I149" s="141"/>
      <c r="J149" s="141"/>
      <c r="K149" s="141"/>
      <c r="L149" s="141"/>
      <c r="M149" s="141"/>
      <c r="N149" s="141"/>
      <c r="O149" s="141"/>
    </row>
    <row r="150">
      <c r="A150" s="155"/>
      <c r="B150" s="155"/>
      <c r="C150" s="155"/>
      <c r="D150" s="155"/>
      <c r="E150" s="155"/>
      <c r="F150" s="155"/>
      <c r="G150" s="141"/>
      <c r="H150" s="141"/>
      <c r="I150" s="141"/>
      <c r="J150" s="141"/>
      <c r="K150" s="141"/>
      <c r="L150" s="141"/>
      <c r="M150" s="141"/>
      <c r="N150" s="141"/>
      <c r="O150" s="141"/>
    </row>
    <row r="151">
      <c r="A151" s="155"/>
      <c r="B151" s="155"/>
      <c r="C151" s="155"/>
      <c r="D151" s="155"/>
      <c r="E151" s="155"/>
      <c r="F151" s="155"/>
      <c r="G151" s="141"/>
      <c r="H151" s="141"/>
      <c r="I151" s="141"/>
      <c r="J151" s="141"/>
      <c r="K151" s="141"/>
      <c r="L151" s="141"/>
      <c r="M151" s="141"/>
      <c r="N151" s="141"/>
      <c r="O151" s="141"/>
    </row>
    <row r="152">
      <c r="A152" s="155"/>
      <c r="B152" s="155"/>
      <c r="C152" s="155"/>
      <c r="D152" s="155"/>
      <c r="E152" s="155"/>
      <c r="F152" s="155"/>
      <c r="G152" s="141"/>
      <c r="H152" s="141"/>
      <c r="I152" s="141"/>
      <c r="J152" s="141"/>
      <c r="K152" s="141"/>
      <c r="L152" s="141"/>
      <c r="M152" s="141"/>
      <c r="N152" s="141"/>
      <c r="O152" s="141"/>
    </row>
    <row r="153">
      <c r="A153" s="155"/>
      <c r="B153" s="155"/>
      <c r="C153" s="155"/>
      <c r="D153" s="155"/>
      <c r="E153" s="155"/>
      <c r="F153" s="155"/>
      <c r="G153" s="141"/>
      <c r="H153" s="141"/>
      <c r="I153" s="141"/>
      <c r="J153" s="141"/>
      <c r="K153" s="141"/>
      <c r="L153" s="141"/>
      <c r="M153" s="141"/>
      <c r="N153" s="141"/>
      <c r="O153" s="141"/>
    </row>
    <row r="154">
      <c r="A154" s="155"/>
      <c r="B154" s="155"/>
      <c r="C154" s="155"/>
      <c r="D154" s="155"/>
      <c r="E154" s="155"/>
      <c r="F154" s="155"/>
      <c r="G154" s="141"/>
      <c r="H154" s="141"/>
      <c r="I154" s="141"/>
      <c r="J154" s="141"/>
      <c r="K154" s="141"/>
      <c r="L154" s="141"/>
      <c r="M154" s="141"/>
      <c r="N154" s="141"/>
      <c r="O154" s="141"/>
    </row>
    <row r="155">
      <c r="A155" s="155"/>
      <c r="B155" s="155"/>
      <c r="C155" s="155"/>
      <c r="D155" s="155"/>
      <c r="E155" s="155"/>
      <c r="F155" s="155"/>
      <c r="G155" s="141"/>
      <c r="H155" s="161" t="s">
        <v>1</v>
      </c>
      <c r="I155" s="12"/>
      <c r="J155" s="12"/>
      <c r="K155" s="12"/>
      <c r="L155" s="12"/>
      <c r="M155" s="12"/>
      <c r="N155" s="13"/>
      <c r="O155" s="141"/>
    </row>
    <row r="156">
      <c r="A156" s="155"/>
      <c r="B156" s="155"/>
      <c r="C156" s="155"/>
      <c r="D156" s="155"/>
      <c r="E156" s="155"/>
      <c r="F156" s="155"/>
      <c r="G156" s="141"/>
      <c r="H156" s="63"/>
      <c r="I156" s="64"/>
      <c r="J156" s="64"/>
      <c r="K156" s="64"/>
      <c r="L156" s="64"/>
      <c r="M156" s="64"/>
      <c r="N156" s="65"/>
      <c r="O156" s="141"/>
    </row>
    <row r="157">
      <c r="A157" s="155"/>
      <c r="B157" s="155"/>
      <c r="C157" s="155"/>
      <c r="D157" s="155"/>
      <c r="E157" s="155"/>
      <c r="F157" s="155"/>
      <c r="G157" s="141"/>
      <c r="H157" s="141"/>
      <c r="I157" s="141"/>
      <c r="J157" s="141"/>
      <c r="K157" s="141"/>
      <c r="L157" s="141"/>
      <c r="M157" s="141"/>
      <c r="N157" s="141"/>
      <c r="O157" s="141"/>
    </row>
    <row r="158">
      <c r="A158" s="155"/>
      <c r="B158" s="155"/>
      <c r="C158" s="155"/>
      <c r="D158" s="155"/>
      <c r="E158" s="155"/>
      <c r="F158" s="155"/>
      <c r="G158" s="141"/>
      <c r="H158" s="162" t="s">
        <v>3</v>
      </c>
      <c r="I158" s="163" t="s">
        <v>9</v>
      </c>
      <c r="J158" s="5"/>
      <c r="K158" s="6"/>
      <c r="L158" s="163" t="s">
        <v>10</v>
      </c>
      <c r="M158" s="5"/>
      <c r="N158" s="6"/>
      <c r="O158" s="141"/>
    </row>
    <row r="159">
      <c r="A159" s="155"/>
      <c r="B159" s="155"/>
      <c r="C159" s="155"/>
      <c r="D159" s="155"/>
      <c r="E159" s="155"/>
      <c r="F159" s="155"/>
      <c r="G159" s="141"/>
      <c r="H159" s="164">
        <f>SUM(B166,M145)</f>
        <v>0</v>
      </c>
      <c r="I159" s="165">
        <f>COUNT(F115:F164,I115:M143)</f>
        <v>0</v>
      </c>
      <c r="J159" s="12"/>
      <c r="K159" s="13"/>
      <c r="L159" s="165">
        <f>SUM(F115:F164)+COUNT(I115:M143)</f>
        <v>0</v>
      </c>
      <c r="M159" s="12"/>
      <c r="N159" s="13"/>
      <c r="O159" s="141"/>
    </row>
    <row r="160">
      <c r="A160" s="155"/>
      <c r="B160" s="155"/>
      <c r="C160" s="155"/>
      <c r="D160" s="155"/>
      <c r="E160" s="155"/>
      <c r="F160" s="155"/>
      <c r="G160" s="141"/>
      <c r="H160" s="69"/>
      <c r="I160" s="63"/>
      <c r="J160" s="64"/>
      <c r="K160" s="65"/>
      <c r="L160" s="63"/>
      <c r="M160" s="64"/>
      <c r="N160" s="65"/>
      <c r="O160" s="141"/>
    </row>
    <row r="161">
      <c r="A161" s="155"/>
      <c r="B161" s="155"/>
      <c r="C161" s="155"/>
      <c r="D161" s="155"/>
      <c r="E161" s="155"/>
      <c r="F161" s="155"/>
      <c r="G161" s="141"/>
      <c r="H161" s="141"/>
      <c r="I161" s="141"/>
      <c r="J161" s="141"/>
      <c r="K161" s="141"/>
      <c r="L161" s="176" t="s">
        <v>25</v>
      </c>
      <c r="M161" s="5"/>
      <c r="N161" s="6"/>
      <c r="O161" s="141"/>
    </row>
    <row r="162">
      <c r="A162" s="155"/>
      <c r="B162" s="155"/>
      <c r="C162" s="155"/>
      <c r="D162" s="155"/>
      <c r="E162" s="155"/>
      <c r="F162" s="155"/>
      <c r="G162" s="141"/>
      <c r="H162" s="141"/>
      <c r="I162" s="141"/>
      <c r="J162" s="141"/>
      <c r="K162" s="141"/>
      <c r="L162" s="177">
        <f>ROUNDUP(SUM(F115:F164)/3+COUNT(I115:M143)/2,0)</f>
        <v>0</v>
      </c>
      <c r="M162" s="5"/>
      <c r="N162" s="6"/>
      <c r="O162" s="141"/>
    </row>
    <row r="163">
      <c r="A163" s="155"/>
      <c r="B163" s="155"/>
      <c r="C163" s="155"/>
      <c r="D163" s="155"/>
      <c r="E163" s="155"/>
      <c r="F163" s="155"/>
      <c r="G163" s="141"/>
      <c r="H163" s="141"/>
      <c r="I163" s="141"/>
      <c r="J163" s="141"/>
      <c r="K163" s="141"/>
      <c r="L163" s="141"/>
      <c r="M163" s="141"/>
      <c r="N163" s="141"/>
      <c r="O163" s="141"/>
    </row>
    <row r="164">
      <c r="A164" s="166"/>
      <c r="B164" s="166"/>
      <c r="C164" s="166"/>
      <c r="D164" s="166"/>
      <c r="E164" s="166"/>
      <c r="F164" s="166"/>
      <c r="G164" s="141"/>
      <c r="H164" s="141"/>
      <c r="I164" s="141"/>
      <c r="J164" s="141"/>
      <c r="K164" s="141"/>
      <c r="L164" s="141"/>
      <c r="M164" s="141"/>
      <c r="N164" s="141"/>
      <c r="O164" s="141"/>
    </row>
    <row r="165">
      <c r="A165" s="168" t="s">
        <v>1</v>
      </c>
      <c r="B165" s="5"/>
      <c r="C165" s="5"/>
      <c r="D165" s="5"/>
      <c r="E165" s="5"/>
      <c r="F165" s="5"/>
      <c r="G165" s="141"/>
      <c r="H165" s="141"/>
      <c r="I165" s="141"/>
      <c r="J165" s="141"/>
      <c r="K165" s="141"/>
      <c r="L165" s="141"/>
      <c r="M165" s="141"/>
      <c r="N165" s="141"/>
      <c r="O165" s="141"/>
    </row>
    <row r="166">
      <c r="A166" s="169"/>
      <c r="B166" s="148">
        <f>SUM(B115:B164)</f>
        <v>0</v>
      </c>
      <c r="C166" s="170" t="s">
        <v>11</v>
      </c>
      <c r="D166" s="171"/>
      <c r="E166" s="171"/>
      <c r="F166" s="148">
        <f>SUM(F115:F164)</f>
        <v>0</v>
      </c>
      <c r="G166" s="141"/>
      <c r="H166" s="141"/>
      <c r="I166" s="141"/>
      <c r="J166" s="141"/>
      <c r="K166" s="141"/>
      <c r="L166" s="141"/>
      <c r="M166" s="141"/>
      <c r="N166" s="141"/>
      <c r="O166" s="141"/>
    </row>
    <row r="167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</row>
    <row r="168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</row>
    <row r="169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</row>
    <row r="170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</row>
    <row r="171">
      <c r="H171" s="141"/>
      <c r="I171" s="141"/>
      <c r="J171" s="141"/>
      <c r="K171" s="141"/>
      <c r="L171" s="141"/>
      <c r="M171" s="141"/>
      <c r="N171" s="141"/>
      <c r="O171" s="141"/>
    </row>
  </sheetData>
  <mergeCells count="35">
    <mergeCell ref="J2:N2"/>
    <mergeCell ref="H33:N33"/>
    <mergeCell ref="M34:N34"/>
    <mergeCell ref="H36:N36"/>
    <mergeCell ref="H45:N46"/>
    <mergeCell ref="L48:N48"/>
    <mergeCell ref="I48:K48"/>
    <mergeCell ref="H49:H50"/>
    <mergeCell ref="I49:K50"/>
    <mergeCell ref="L49:N50"/>
    <mergeCell ref="A55:F55"/>
    <mergeCell ref="J58:N58"/>
    <mergeCell ref="I104:K105"/>
    <mergeCell ref="L104:N105"/>
    <mergeCell ref="A110:F110"/>
    <mergeCell ref="J113:N113"/>
    <mergeCell ref="H100:N101"/>
    <mergeCell ref="I103:K103"/>
    <mergeCell ref="L103:N103"/>
    <mergeCell ref="H104:H105"/>
    <mergeCell ref="H93:N93"/>
    <mergeCell ref="H89:N89"/>
    <mergeCell ref="M90:N90"/>
    <mergeCell ref="I159:K160"/>
    <mergeCell ref="L159:N160"/>
    <mergeCell ref="L161:N161"/>
    <mergeCell ref="L162:N162"/>
    <mergeCell ref="A165:F165"/>
    <mergeCell ref="H155:N156"/>
    <mergeCell ref="I158:K158"/>
    <mergeCell ref="L158:N158"/>
    <mergeCell ref="H159:H160"/>
    <mergeCell ref="H148:N148"/>
    <mergeCell ref="H144:N144"/>
    <mergeCell ref="M145:N14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71"/>
    <col customWidth="1" min="2" max="3" width="5.43"/>
    <col customWidth="1" min="4" max="5" width="4.57"/>
    <col customWidth="1" min="6" max="8" width="4.14"/>
    <col customWidth="1" min="9" max="9" width="2.71"/>
    <col customWidth="1" min="10" max="10" width="3.71"/>
    <col customWidth="1" min="11" max="16" width="4.71"/>
    <col customWidth="1" min="17" max="17" width="9.43"/>
    <col customWidth="1" min="18" max="18" width="11.86"/>
    <col customWidth="1" min="19" max="19" width="1.14"/>
    <col customWidth="1" min="20" max="20" width="6.0"/>
    <col customWidth="1" min="21" max="21" width="5.86"/>
    <col customWidth="1" min="22" max="22" width="4.57"/>
    <col customWidth="1" min="23" max="24" width="4.14"/>
    <col customWidth="1" min="25" max="25" width="10.57"/>
    <col customWidth="1" min="26" max="26" width="5.29"/>
    <col customWidth="1" min="27" max="27" width="5.0"/>
    <col customWidth="1" min="28" max="33" width="4.71"/>
    <col customWidth="1" min="34" max="34" width="9.43"/>
    <col customWidth="1" min="35" max="35" width="6.71"/>
    <col customWidth="1" min="36" max="37" width="5.43"/>
    <col customWidth="1" min="38" max="39" width="4.57"/>
    <col customWidth="1" min="40" max="42" width="4.14"/>
    <col customWidth="1" min="43" max="43" width="2.71"/>
    <col customWidth="1" min="44" max="44" width="3.71"/>
    <col customWidth="1" min="45" max="50" width="4.71"/>
  </cols>
  <sheetData>
    <row r="1" ht="15.0" customHeight="1">
      <c r="K1" s="178"/>
      <c r="Q1" s="179"/>
      <c r="AB1" s="178"/>
      <c r="AH1" s="179"/>
      <c r="AS1" s="178"/>
    </row>
    <row r="2">
      <c r="A2" s="180" t="s">
        <v>26</v>
      </c>
      <c r="B2" s="181" t="s">
        <v>27</v>
      </c>
      <c r="C2" s="182"/>
      <c r="D2" s="182"/>
      <c r="E2" s="182"/>
      <c r="F2" s="182"/>
      <c r="G2" s="182"/>
      <c r="H2" s="182"/>
      <c r="I2" s="183"/>
      <c r="J2" s="184"/>
      <c r="K2" s="185" t="s">
        <v>28</v>
      </c>
      <c r="L2" s="182"/>
      <c r="M2" s="186">
        <v>45808.0</v>
      </c>
      <c r="N2" s="182"/>
      <c r="O2" s="182"/>
      <c r="P2" s="187"/>
      <c r="Q2" s="179"/>
      <c r="R2" s="180" t="s">
        <v>26</v>
      </c>
      <c r="S2" s="188" t="s">
        <v>29</v>
      </c>
      <c r="T2" s="188"/>
      <c r="U2" s="188"/>
      <c r="V2" s="188"/>
      <c r="W2" s="188"/>
      <c r="X2" s="188"/>
      <c r="Y2" s="188"/>
      <c r="Z2" s="189"/>
      <c r="AA2" s="184"/>
      <c r="AB2" s="185" t="s">
        <v>28</v>
      </c>
      <c r="AC2" s="182"/>
      <c r="AD2" s="186" t="s">
        <v>30</v>
      </c>
      <c r="AE2" s="182"/>
      <c r="AF2" s="182"/>
      <c r="AG2" s="187"/>
      <c r="AH2" s="179"/>
      <c r="AI2" s="180" t="s">
        <v>26</v>
      </c>
      <c r="AJ2" s="181" t="s">
        <v>31</v>
      </c>
      <c r="AK2" s="182"/>
      <c r="AL2" s="182"/>
      <c r="AM2" s="182"/>
      <c r="AN2" s="182"/>
      <c r="AO2" s="182"/>
      <c r="AP2" s="182"/>
      <c r="AQ2" s="183"/>
      <c r="AR2" s="184"/>
      <c r="AS2" s="185" t="s">
        <v>28</v>
      </c>
      <c r="AT2" s="182"/>
      <c r="AU2" s="186">
        <v>45808.0</v>
      </c>
      <c r="AV2" s="182"/>
      <c r="AW2" s="182"/>
      <c r="AX2" s="187"/>
    </row>
    <row r="3">
      <c r="I3" s="190"/>
      <c r="J3" s="190"/>
      <c r="K3" s="190"/>
      <c r="L3" s="190"/>
      <c r="M3" s="191"/>
      <c r="N3" s="191"/>
      <c r="O3" s="192"/>
      <c r="P3" s="193"/>
      <c r="Q3" s="194"/>
      <c r="Z3" s="190"/>
      <c r="AA3" s="190"/>
      <c r="AB3" s="190"/>
      <c r="AC3" s="190"/>
      <c r="AD3" s="191"/>
      <c r="AE3" s="191"/>
      <c r="AF3" s="192"/>
      <c r="AG3" s="193"/>
      <c r="AH3" s="194"/>
      <c r="AQ3" s="190"/>
      <c r="AR3" s="190"/>
      <c r="AS3" s="190"/>
      <c r="AT3" s="190"/>
      <c r="AU3" s="191"/>
      <c r="AV3" s="191"/>
      <c r="AW3" s="192"/>
      <c r="AX3" s="193"/>
    </row>
    <row r="4">
      <c r="A4" s="195" t="s">
        <v>32</v>
      </c>
      <c r="B4" s="196" t="s">
        <v>33</v>
      </c>
      <c r="C4" s="6"/>
      <c r="D4" s="195" t="s">
        <v>3</v>
      </c>
      <c r="E4" s="195" t="s">
        <v>4</v>
      </c>
      <c r="F4" s="59" t="s">
        <v>34</v>
      </c>
      <c r="G4" s="5"/>
      <c r="H4" s="6"/>
      <c r="I4" s="100"/>
      <c r="M4" s="196" t="s">
        <v>35</v>
      </c>
      <c r="N4" s="6"/>
      <c r="Q4" s="179"/>
      <c r="R4" s="196" t="s">
        <v>33</v>
      </c>
      <c r="S4" s="6"/>
      <c r="T4" s="195" t="s">
        <v>3</v>
      </c>
      <c r="U4" s="67" t="s">
        <v>36</v>
      </c>
      <c r="V4" s="195" t="s">
        <v>4</v>
      </c>
      <c r="W4" s="59" t="s">
        <v>34</v>
      </c>
      <c r="X4" s="5"/>
      <c r="Y4" s="6"/>
      <c r="Z4" s="100"/>
      <c r="AD4" s="196" t="s">
        <v>35</v>
      </c>
      <c r="AE4" s="6"/>
      <c r="AH4" s="179"/>
      <c r="AI4" s="197" t="s">
        <v>32</v>
      </c>
      <c r="AJ4" s="198" t="s">
        <v>33</v>
      </c>
      <c r="AK4" s="13"/>
      <c r="AL4" s="197" t="s">
        <v>3</v>
      </c>
      <c r="AM4" s="197" t="s">
        <v>4</v>
      </c>
      <c r="AN4" s="199" t="s">
        <v>34</v>
      </c>
      <c r="AO4" s="12"/>
      <c r="AP4" s="13"/>
      <c r="AQ4" s="184"/>
      <c r="AU4" s="196" t="s">
        <v>35</v>
      </c>
      <c r="AV4" s="6"/>
    </row>
    <row r="5">
      <c r="A5" s="200"/>
      <c r="B5" s="201"/>
      <c r="C5" s="202"/>
      <c r="D5" s="203"/>
      <c r="E5" s="203"/>
      <c r="F5" s="204"/>
      <c r="G5" s="12"/>
      <c r="H5" s="205"/>
      <c r="I5" s="206"/>
      <c r="J5" s="124"/>
      <c r="K5" s="196" t="s">
        <v>37</v>
      </c>
      <c r="L5" s="6"/>
      <c r="M5" s="196" t="s">
        <v>38</v>
      </c>
      <c r="N5" s="6"/>
      <c r="O5" s="196" t="s">
        <v>9</v>
      </c>
      <c r="P5" s="6"/>
      <c r="Q5" s="179"/>
      <c r="R5" s="201"/>
      <c r="S5" s="202"/>
      <c r="T5" s="207"/>
      <c r="U5" s="208"/>
      <c r="V5" s="207"/>
      <c r="W5" s="201"/>
      <c r="X5" s="209"/>
      <c r="Y5" s="202"/>
      <c r="Z5" s="210"/>
      <c r="AA5" s="124"/>
      <c r="AB5" s="196" t="s">
        <v>37</v>
      </c>
      <c r="AC5" s="6"/>
      <c r="AD5" s="196" t="s">
        <v>38</v>
      </c>
      <c r="AE5" s="6"/>
      <c r="AF5" s="196" t="s">
        <v>9</v>
      </c>
      <c r="AG5" s="6"/>
      <c r="AH5" s="211"/>
      <c r="AI5" s="212"/>
      <c r="AJ5" s="213"/>
      <c r="AK5" s="107"/>
      <c r="AL5" s="212"/>
      <c r="AM5" s="212"/>
      <c r="AN5" s="213"/>
      <c r="AO5" s="106"/>
      <c r="AP5" s="107"/>
      <c r="AQ5" s="214"/>
      <c r="AR5" s="215"/>
      <c r="AS5" s="196" t="s">
        <v>37</v>
      </c>
      <c r="AT5" s="6"/>
      <c r="AU5" s="196" t="s">
        <v>38</v>
      </c>
      <c r="AV5" s="6"/>
      <c r="AW5" s="196" t="s">
        <v>9</v>
      </c>
      <c r="AX5" s="6"/>
    </row>
    <row r="6" ht="15.75" customHeight="1">
      <c r="A6" s="200"/>
      <c r="B6" s="207"/>
      <c r="C6" s="46"/>
      <c r="D6" s="207"/>
      <c r="E6" s="207"/>
      <c r="F6" s="216"/>
      <c r="G6" s="40"/>
      <c r="H6" s="41"/>
      <c r="I6" s="206"/>
      <c r="J6" s="217"/>
      <c r="K6" s="218">
        <f>SUM(A46,M10)</f>
        <v>0</v>
      </c>
      <c r="L6" s="13"/>
      <c r="M6" s="218">
        <f>SUM(D5:D45,M13:P45)</f>
        <v>0</v>
      </c>
      <c r="N6" s="13"/>
      <c r="O6" s="218">
        <f>COUNT(A5:A45,M13:P45)</f>
        <v>0</v>
      </c>
      <c r="P6" s="13"/>
      <c r="Q6" s="179"/>
      <c r="R6" s="213"/>
      <c r="S6" s="107"/>
      <c r="T6" s="213"/>
      <c r="U6" s="219"/>
      <c r="V6" s="213"/>
      <c r="W6" s="213"/>
      <c r="X6" s="106"/>
      <c r="Y6" s="107"/>
      <c r="Z6" s="210"/>
      <c r="AA6" s="217"/>
      <c r="AB6" s="218">
        <f>SUM(V46,AD12)</f>
        <v>0</v>
      </c>
      <c r="AC6" s="13"/>
      <c r="AD6" s="218">
        <f>SUM(T5:T45,AD15:AG45)</f>
        <v>0</v>
      </c>
      <c r="AE6" s="13"/>
      <c r="AF6" s="218">
        <f>COUNT(U5:U45,AD15:AG45)</f>
        <v>0</v>
      </c>
      <c r="AG6" s="13"/>
      <c r="AH6" s="211"/>
      <c r="AI6" s="212"/>
      <c r="AJ6" s="213"/>
      <c r="AK6" s="107"/>
      <c r="AL6" s="212"/>
      <c r="AM6" s="212"/>
      <c r="AN6" s="213"/>
      <c r="AO6" s="106"/>
      <c r="AP6" s="107"/>
      <c r="AQ6" s="214"/>
      <c r="AR6" s="220"/>
      <c r="AS6" s="218">
        <f>SUM(AI46,AU10)</f>
        <v>0</v>
      </c>
      <c r="AT6" s="13"/>
      <c r="AU6" s="218">
        <f>SUM(AL5:AL45,AU13:AX45)</f>
        <v>0</v>
      </c>
      <c r="AV6" s="13"/>
      <c r="AW6" s="218">
        <f>COUNT(AI5:AI45,AU13:AX45)</f>
        <v>0</v>
      </c>
      <c r="AX6" s="13"/>
    </row>
    <row r="7" ht="16.5" customHeight="1">
      <c r="A7" s="200"/>
      <c r="B7" s="207"/>
      <c r="C7" s="46"/>
      <c r="D7" s="207"/>
      <c r="E7" s="207"/>
      <c r="F7" s="216"/>
      <c r="G7" s="40"/>
      <c r="H7" s="41"/>
      <c r="I7" s="206"/>
      <c r="J7" s="217"/>
      <c r="K7" s="63"/>
      <c r="L7" s="65"/>
      <c r="M7" s="63"/>
      <c r="N7" s="65"/>
      <c r="O7" s="63"/>
      <c r="P7" s="65"/>
      <c r="Q7" s="179"/>
      <c r="R7" s="213"/>
      <c r="S7" s="107"/>
      <c r="T7" s="213"/>
      <c r="U7" s="219"/>
      <c r="V7" s="213"/>
      <c r="W7" s="213"/>
      <c r="X7" s="106"/>
      <c r="Y7" s="107"/>
      <c r="Z7" s="210"/>
      <c r="AA7" s="217"/>
      <c r="AB7" s="63"/>
      <c r="AC7" s="65"/>
      <c r="AD7" s="63"/>
      <c r="AE7" s="65"/>
      <c r="AF7" s="63"/>
      <c r="AG7" s="65"/>
      <c r="AH7" s="211"/>
      <c r="AI7" s="212"/>
      <c r="AJ7" s="213"/>
      <c r="AK7" s="107"/>
      <c r="AL7" s="212"/>
      <c r="AM7" s="212"/>
      <c r="AN7" s="213"/>
      <c r="AO7" s="106"/>
      <c r="AP7" s="107"/>
      <c r="AQ7" s="214"/>
      <c r="AR7" s="220"/>
      <c r="AS7" s="63"/>
      <c r="AT7" s="65"/>
      <c r="AU7" s="63"/>
      <c r="AV7" s="65"/>
      <c r="AW7" s="63"/>
      <c r="AX7" s="65"/>
    </row>
    <row r="8" ht="16.5" customHeight="1">
      <c r="A8" s="200"/>
      <c r="B8" s="207"/>
      <c r="C8" s="46"/>
      <c r="D8" s="207"/>
      <c r="E8" s="207"/>
      <c r="F8" s="216"/>
      <c r="G8" s="40"/>
      <c r="H8" s="41"/>
      <c r="I8" s="206"/>
      <c r="J8" s="217"/>
      <c r="Q8" s="179"/>
      <c r="R8" s="213"/>
      <c r="S8" s="107"/>
      <c r="T8" s="213"/>
      <c r="U8" s="219"/>
      <c r="V8" s="213"/>
      <c r="W8" s="213"/>
      <c r="X8" s="106"/>
      <c r="Y8" s="107"/>
      <c r="Z8" s="210"/>
      <c r="AA8" s="217"/>
      <c r="AB8" s="221"/>
      <c r="AC8" s="221"/>
      <c r="AD8" s="221"/>
      <c r="AE8" s="221"/>
      <c r="AF8" s="221"/>
      <c r="AG8" s="221"/>
      <c r="AH8" s="211"/>
      <c r="AI8" s="212"/>
      <c r="AJ8" s="213"/>
      <c r="AK8" s="107"/>
      <c r="AL8" s="212"/>
      <c r="AM8" s="212"/>
      <c r="AN8" s="213"/>
      <c r="AO8" s="106"/>
      <c r="AP8" s="107"/>
      <c r="AQ8" s="214"/>
      <c r="AR8" s="220"/>
    </row>
    <row r="9" ht="16.5" customHeight="1">
      <c r="A9" s="200"/>
      <c r="B9" s="207"/>
      <c r="C9" s="46"/>
      <c r="D9" s="207"/>
      <c r="E9" s="207"/>
      <c r="F9" s="216"/>
      <c r="G9" s="40"/>
      <c r="H9" s="41"/>
      <c r="I9" s="206"/>
      <c r="J9" s="217"/>
      <c r="K9" s="222" t="s">
        <v>39</v>
      </c>
      <c r="L9" s="6"/>
      <c r="Q9" s="179"/>
      <c r="R9" s="213"/>
      <c r="S9" s="107"/>
      <c r="T9" s="213"/>
      <c r="U9" s="219"/>
      <c r="V9" s="213"/>
      <c r="W9" s="213"/>
      <c r="X9" s="106"/>
      <c r="Y9" s="107"/>
      <c r="Z9" s="210"/>
      <c r="AA9" s="217"/>
      <c r="AB9" s="223" t="s">
        <v>40</v>
      </c>
      <c r="AC9" s="5"/>
      <c r="AD9" s="224">
        <f>AD12/2+U46/16</f>
        <v>0</v>
      </c>
      <c r="AE9" s="6"/>
      <c r="AF9" s="221"/>
      <c r="AG9" s="221"/>
      <c r="AH9" s="211"/>
      <c r="AI9" s="212"/>
      <c r="AJ9" s="213"/>
      <c r="AK9" s="107"/>
      <c r="AL9" s="212"/>
      <c r="AM9" s="212"/>
      <c r="AN9" s="213"/>
      <c r="AO9" s="106"/>
      <c r="AP9" s="107"/>
      <c r="AQ9" s="214"/>
      <c r="AR9" s="220"/>
      <c r="AS9" s="222" t="s">
        <v>39</v>
      </c>
      <c r="AT9" s="6"/>
    </row>
    <row r="10" ht="16.5" customHeight="1">
      <c r="A10" s="200"/>
      <c r="B10" s="207"/>
      <c r="C10" s="46"/>
      <c r="D10" s="207"/>
      <c r="E10" s="207"/>
      <c r="F10" s="216"/>
      <c r="G10" s="40"/>
      <c r="H10" s="41"/>
      <c r="I10" s="206"/>
      <c r="J10" s="217"/>
      <c r="K10" s="225" t="s">
        <v>41</v>
      </c>
      <c r="L10" s="226"/>
      <c r="M10" s="227">
        <f>COUNT(M13:P45)</f>
        <v>0</v>
      </c>
      <c r="N10" s="228" t="s">
        <v>42</v>
      </c>
      <c r="O10" s="227">
        <f>SUM(M13:P45)</f>
        <v>0</v>
      </c>
      <c r="P10" s="229"/>
      <c r="Q10" s="179"/>
      <c r="R10" s="213"/>
      <c r="S10" s="107"/>
      <c r="T10" s="213"/>
      <c r="U10" s="219"/>
      <c r="V10" s="213"/>
      <c r="W10" s="213"/>
      <c r="X10" s="106"/>
      <c r="Y10" s="107"/>
      <c r="Z10" s="210"/>
      <c r="AA10" s="217"/>
      <c r="AH10" s="211"/>
      <c r="AI10" s="212"/>
      <c r="AJ10" s="213"/>
      <c r="AK10" s="107"/>
      <c r="AL10" s="212"/>
      <c r="AM10" s="212"/>
      <c r="AN10" s="213"/>
      <c r="AO10" s="106"/>
      <c r="AP10" s="107"/>
      <c r="AQ10" s="214"/>
      <c r="AR10" s="220"/>
      <c r="AS10" s="225" t="s">
        <v>41</v>
      </c>
      <c r="AT10" s="226"/>
      <c r="AU10" s="227">
        <f>COUNT(AU13:AX45)</f>
        <v>0</v>
      </c>
      <c r="AV10" s="228" t="s">
        <v>42</v>
      </c>
      <c r="AW10" s="227">
        <f>SUM(AU13:AX45)</f>
        <v>0</v>
      </c>
      <c r="AX10" s="229"/>
    </row>
    <row r="11" ht="17.25" customHeight="1">
      <c r="A11" s="200"/>
      <c r="B11" s="207"/>
      <c r="C11" s="46"/>
      <c r="D11" s="207"/>
      <c r="E11" s="207"/>
      <c r="F11" s="216"/>
      <c r="G11" s="40"/>
      <c r="H11" s="41"/>
      <c r="I11" s="206"/>
      <c r="J11" s="217"/>
      <c r="K11" s="100"/>
      <c r="Q11" s="179"/>
      <c r="R11" s="213"/>
      <c r="S11" s="107"/>
      <c r="T11" s="213"/>
      <c r="U11" s="219"/>
      <c r="V11" s="213"/>
      <c r="W11" s="213"/>
      <c r="X11" s="106"/>
      <c r="Y11" s="107"/>
      <c r="Z11" s="210"/>
      <c r="AA11" s="217"/>
      <c r="AB11" s="222" t="s">
        <v>39</v>
      </c>
      <c r="AC11" s="6"/>
      <c r="AH11" s="211"/>
      <c r="AI11" s="212"/>
      <c r="AJ11" s="213"/>
      <c r="AK11" s="107"/>
      <c r="AL11" s="212"/>
      <c r="AM11" s="212"/>
      <c r="AN11" s="213"/>
      <c r="AO11" s="106"/>
      <c r="AP11" s="107"/>
      <c r="AQ11" s="214"/>
      <c r="AR11" s="220"/>
      <c r="AS11" s="100"/>
    </row>
    <row r="12" ht="16.5" customHeight="1">
      <c r="A12" s="200"/>
      <c r="B12" s="207"/>
      <c r="C12" s="46"/>
      <c r="D12" s="207"/>
      <c r="E12" s="207"/>
      <c r="F12" s="216"/>
      <c r="G12" s="40"/>
      <c r="H12" s="41"/>
      <c r="I12" s="206"/>
      <c r="J12" s="217"/>
      <c r="K12" s="230" t="s">
        <v>33</v>
      </c>
      <c r="L12" s="229"/>
      <c r="M12" s="231"/>
      <c r="N12" s="232"/>
      <c r="O12" s="232"/>
      <c r="P12" s="232"/>
      <c r="Q12" s="233"/>
      <c r="R12" s="213"/>
      <c r="S12" s="107"/>
      <c r="T12" s="213"/>
      <c r="U12" s="219"/>
      <c r="V12" s="213"/>
      <c r="W12" s="213"/>
      <c r="X12" s="106"/>
      <c r="Y12" s="107"/>
      <c r="Z12" s="210"/>
      <c r="AA12" s="217"/>
      <c r="AB12" s="225" t="s">
        <v>41</v>
      </c>
      <c r="AC12" s="226"/>
      <c r="AD12" s="227">
        <f>COUNT(AD15:AG45)</f>
        <v>0</v>
      </c>
      <c r="AE12" s="228" t="s">
        <v>42</v>
      </c>
      <c r="AF12" s="227">
        <f>SUM(AD15:AG45)</f>
        <v>0</v>
      </c>
      <c r="AG12" s="229"/>
      <c r="AH12" s="234"/>
      <c r="AI12" s="212"/>
      <c r="AJ12" s="213"/>
      <c r="AK12" s="107"/>
      <c r="AL12" s="212"/>
      <c r="AM12" s="212"/>
      <c r="AN12" s="213"/>
      <c r="AO12" s="106"/>
      <c r="AP12" s="107"/>
      <c r="AQ12" s="214"/>
      <c r="AR12" s="220"/>
      <c r="AS12" s="230" t="s">
        <v>33</v>
      </c>
      <c r="AT12" s="229"/>
      <c r="AU12" s="231"/>
      <c r="AV12" s="232"/>
      <c r="AW12" s="232"/>
      <c r="AX12" s="232"/>
    </row>
    <row r="13" ht="16.5" customHeight="1">
      <c r="A13" s="200"/>
      <c r="B13" s="207"/>
      <c r="C13" s="46"/>
      <c r="D13" s="207"/>
      <c r="E13" s="207"/>
      <c r="F13" s="216"/>
      <c r="G13" s="40"/>
      <c r="H13" s="41"/>
      <c r="I13" s="206"/>
      <c r="J13" s="217"/>
      <c r="K13" s="235"/>
      <c r="L13" s="46"/>
      <c r="M13" s="236"/>
      <c r="N13" s="236"/>
      <c r="O13" s="236"/>
      <c r="P13" s="237"/>
      <c r="Q13" s="179"/>
      <c r="R13" s="213"/>
      <c r="S13" s="107"/>
      <c r="T13" s="213"/>
      <c r="U13" s="219"/>
      <c r="V13" s="213"/>
      <c r="W13" s="213"/>
      <c r="X13" s="106"/>
      <c r="Y13" s="107"/>
      <c r="Z13" s="210"/>
      <c r="AA13" s="217"/>
      <c r="AB13" s="100"/>
      <c r="AH13" s="211"/>
      <c r="AI13" s="212"/>
      <c r="AJ13" s="213"/>
      <c r="AK13" s="107"/>
      <c r="AL13" s="212"/>
      <c r="AM13" s="212"/>
      <c r="AN13" s="213"/>
      <c r="AO13" s="106"/>
      <c r="AP13" s="107"/>
      <c r="AQ13" s="214"/>
      <c r="AR13" s="220"/>
      <c r="AS13" s="235"/>
      <c r="AT13" s="46"/>
      <c r="AU13" s="236"/>
      <c r="AV13" s="236"/>
      <c r="AW13" s="236"/>
      <c r="AX13" s="237"/>
    </row>
    <row r="14" ht="15.75" customHeight="1">
      <c r="A14" s="200"/>
      <c r="B14" s="213"/>
      <c r="C14" s="107"/>
      <c r="D14" s="212"/>
      <c r="E14" s="212"/>
      <c r="F14" s="216"/>
      <c r="G14" s="40"/>
      <c r="H14" s="41"/>
      <c r="I14" s="206"/>
      <c r="J14" s="217"/>
      <c r="K14" s="238"/>
      <c r="L14" s="107"/>
      <c r="M14" s="239"/>
      <c r="N14" s="239"/>
      <c r="O14" s="239"/>
      <c r="P14" s="240"/>
      <c r="Q14" s="179"/>
      <c r="R14" s="213"/>
      <c r="S14" s="107"/>
      <c r="T14" s="213"/>
      <c r="U14" s="219"/>
      <c r="V14" s="213"/>
      <c r="W14" s="213"/>
      <c r="X14" s="106"/>
      <c r="Y14" s="107"/>
      <c r="Z14" s="210"/>
      <c r="AA14" s="217"/>
      <c r="AB14" s="230" t="s">
        <v>33</v>
      </c>
      <c r="AC14" s="229"/>
      <c r="AD14" s="231"/>
      <c r="AE14" s="232"/>
      <c r="AF14" s="232"/>
      <c r="AG14" s="232"/>
      <c r="AH14" s="211"/>
      <c r="AI14" s="212"/>
      <c r="AJ14" s="213"/>
      <c r="AK14" s="107"/>
      <c r="AL14" s="212"/>
      <c r="AM14" s="212"/>
      <c r="AN14" s="213"/>
      <c r="AO14" s="106"/>
      <c r="AP14" s="107"/>
      <c r="AQ14" s="214"/>
      <c r="AR14" s="220"/>
      <c r="AS14" s="238"/>
      <c r="AT14" s="107"/>
      <c r="AU14" s="239"/>
      <c r="AV14" s="239"/>
      <c r="AW14" s="239"/>
      <c r="AX14" s="240"/>
    </row>
    <row r="15" ht="15.75" customHeight="1">
      <c r="A15" s="241"/>
      <c r="B15" s="213"/>
      <c r="C15" s="107"/>
      <c r="D15" s="212"/>
      <c r="E15" s="242"/>
      <c r="F15" s="243"/>
      <c r="G15" s="106"/>
      <c r="H15" s="107"/>
      <c r="I15" s="242"/>
      <c r="J15" s="220"/>
      <c r="K15" s="238"/>
      <c r="L15" s="107"/>
      <c r="M15" s="239"/>
      <c r="N15" s="239"/>
      <c r="O15" s="239"/>
      <c r="P15" s="240"/>
      <c r="Q15" s="179"/>
      <c r="R15" s="213"/>
      <c r="S15" s="107"/>
      <c r="T15" s="212"/>
      <c r="U15" s="244"/>
      <c r="V15" s="212"/>
      <c r="W15" s="213"/>
      <c r="X15" s="106"/>
      <c r="Y15" s="107"/>
      <c r="Z15" s="214"/>
      <c r="AA15" s="217"/>
      <c r="AB15" s="235"/>
      <c r="AC15" s="46"/>
      <c r="AD15" s="236"/>
      <c r="AE15" s="236"/>
      <c r="AF15" s="236"/>
      <c r="AG15" s="237"/>
      <c r="AH15" s="211"/>
      <c r="AI15" s="212"/>
      <c r="AJ15" s="213"/>
      <c r="AK15" s="107"/>
      <c r="AL15" s="212"/>
      <c r="AM15" s="212"/>
      <c r="AN15" s="213"/>
      <c r="AO15" s="106"/>
      <c r="AP15" s="107"/>
      <c r="AQ15" s="214"/>
      <c r="AR15" s="220"/>
      <c r="AS15" s="238"/>
      <c r="AT15" s="107"/>
      <c r="AU15" s="239"/>
      <c r="AV15" s="239"/>
      <c r="AW15" s="239"/>
      <c r="AX15" s="240"/>
    </row>
    <row r="16" ht="15.75" customHeight="1">
      <c r="A16" s="241"/>
      <c r="B16" s="213"/>
      <c r="C16" s="107"/>
      <c r="D16" s="212"/>
      <c r="E16" s="242"/>
      <c r="F16" s="243"/>
      <c r="G16" s="106"/>
      <c r="H16" s="107"/>
      <c r="I16" s="242"/>
      <c r="J16" s="220"/>
      <c r="K16" s="245"/>
      <c r="L16" s="107"/>
      <c r="M16" s="239"/>
      <c r="N16" s="239"/>
      <c r="O16" s="239"/>
      <c r="P16" s="240"/>
      <c r="Q16" s="179"/>
      <c r="R16" s="213"/>
      <c r="S16" s="107"/>
      <c r="T16" s="207"/>
      <c r="U16" s="208"/>
      <c r="V16" s="207"/>
      <c r="W16" s="207"/>
      <c r="X16" s="45"/>
      <c r="Y16" s="46"/>
      <c r="Z16" s="246"/>
      <c r="AA16" s="217"/>
      <c r="AB16" s="238"/>
      <c r="AC16" s="107"/>
      <c r="AD16" s="239"/>
      <c r="AE16" s="239"/>
      <c r="AF16" s="239"/>
      <c r="AG16" s="240"/>
      <c r="AH16" s="211"/>
      <c r="AI16" s="212"/>
      <c r="AJ16" s="213"/>
      <c r="AK16" s="107"/>
      <c r="AL16" s="212"/>
      <c r="AM16" s="212"/>
      <c r="AN16" s="213"/>
      <c r="AO16" s="106"/>
      <c r="AP16" s="107"/>
      <c r="AQ16" s="214"/>
      <c r="AR16" s="220"/>
      <c r="AS16" s="245"/>
      <c r="AT16" s="107"/>
      <c r="AU16" s="239"/>
      <c r="AV16" s="239"/>
      <c r="AW16" s="239"/>
      <c r="AX16" s="240"/>
    </row>
    <row r="17" ht="15.75" customHeight="1">
      <c r="A17" s="241"/>
      <c r="B17" s="213"/>
      <c r="C17" s="107"/>
      <c r="D17" s="212"/>
      <c r="E17" s="242"/>
      <c r="F17" s="243"/>
      <c r="G17" s="106"/>
      <c r="H17" s="107"/>
      <c r="I17" s="242"/>
      <c r="J17" s="220"/>
      <c r="K17" s="245"/>
      <c r="L17" s="107"/>
      <c r="M17" s="239"/>
      <c r="N17" s="239"/>
      <c r="O17" s="239"/>
      <c r="P17" s="240"/>
      <c r="Q17" s="179"/>
      <c r="R17" s="213"/>
      <c r="S17" s="107"/>
      <c r="T17" s="207"/>
      <c r="U17" s="208"/>
      <c r="V17" s="207"/>
      <c r="W17" s="207"/>
      <c r="X17" s="45"/>
      <c r="Y17" s="46"/>
      <c r="Z17" s="246"/>
      <c r="AA17" s="217"/>
      <c r="AB17" s="238"/>
      <c r="AC17" s="107"/>
      <c r="AD17" s="239"/>
      <c r="AE17" s="239"/>
      <c r="AF17" s="239"/>
      <c r="AG17" s="240"/>
      <c r="AH17" s="211"/>
      <c r="AI17" s="212"/>
      <c r="AJ17" s="213"/>
      <c r="AK17" s="107"/>
      <c r="AL17" s="212"/>
      <c r="AM17" s="212"/>
      <c r="AN17" s="213"/>
      <c r="AO17" s="106"/>
      <c r="AP17" s="107"/>
      <c r="AQ17" s="214"/>
      <c r="AR17" s="220"/>
      <c r="AS17" s="245"/>
      <c r="AT17" s="107"/>
      <c r="AU17" s="239"/>
      <c r="AV17" s="239"/>
      <c r="AW17" s="239"/>
      <c r="AX17" s="240"/>
    </row>
    <row r="18" ht="15.75" customHeight="1">
      <c r="A18" s="241"/>
      <c r="B18" s="213"/>
      <c r="C18" s="107"/>
      <c r="D18" s="212"/>
      <c r="E18" s="242"/>
      <c r="F18" s="243"/>
      <c r="G18" s="106"/>
      <c r="H18" s="107"/>
      <c r="I18" s="242"/>
      <c r="J18" s="220"/>
      <c r="K18" s="245"/>
      <c r="L18" s="107"/>
      <c r="M18" s="239"/>
      <c r="N18" s="239"/>
      <c r="O18" s="239"/>
      <c r="P18" s="240"/>
      <c r="Q18" s="179"/>
      <c r="R18" s="213"/>
      <c r="S18" s="107"/>
      <c r="T18" s="207"/>
      <c r="U18" s="208"/>
      <c r="V18" s="207"/>
      <c r="W18" s="207"/>
      <c r="X18" s="45"/>
      <c r="Y18" s="46"/>
      <c r="Z18" s="246"/>
      <c r="AA18" s="217"/>
      <c r="AB18" s="245"/>
      <c r="AC18" s="107"/>
      <c r="AD18" s="239"/>
      <c r="AE18" s="239"/>
      <c r="AF18" s="239"/>
      <c r="AG18" s="240"/>
      <c r="AH18" s="211"/>
      <c r="AI18" s="212"/>
      <c r="AJ18" s="213"/>
      <c r="AK18" s="107"/>
      <c r="AL18" s="212"/>
      <c r="AM18" s="212"/>
      <c r="AN18" s="213"/>
      <c r="AO18" s="106"/>
      <c r="AP18" s="107"/>
      <c r="AQ18" s="214"/>
      <c r="AR18" s="220"/>
      <c r="AS18" s="245"/>
      <c r="AT18" s="107"/>
      <c r="AU18" s="239"/>
      <c r="AV18" s="239"/>
      <c r="AW18" s="239"/>
      <c r="AX18" s="240"/>
    </row>
    <row r="19" ht="15.75" customHeight="1">
      <c r="A19" s="241"/>
      <c r="B19" s="213"/>
      <c r="C19" s="107"/>
      <c r="D19" s="212"/>
      <c r="E19" s="242"/>
      <c r="F19" s="243"/>
      <c r="G19" s="106"/>
      <c r="H19" s="107"/>
      <c r="I19" s="242"/>
      <c r="J19" s="220"/>
      <c r="K19" s="245"/>
      <c r="L19" s="107"/>
      <c r="M19" s="239"/>
      <c r="N19" s="239"/>
      <c r="O19" s="239"/>
      <c r="P19" s="240"/>
      <c r="Q19" s="179"/>
      <c r="R19" s="213"/>
      <c r="S19" s="107"/>
      <c r="T19" s="207"/>
      <c r="U19" s="208"/>
      <c r="V19" s="207"/>
      <c r="W19" s="207"/>
      <c r="X19" s="45"/>
      <c r="Y19" s="46"/>
      <c r="Z19" s="246"/>
      <c r="AA19" s="217"/>
      <c r="AB19" s="245"/>
      <c r="AC19" s="107"/>
      <c r="AD19" s="239"/>
      <c r="AE19" s="239"/>
      <c r="AF19" s="239"/>
      <c r="AG19" s="240"/>
      <c r="AH19" s="211"/>
      <c r="AI19" s="212"/>
      <c r="AJ19" s="213"/>
      <c r="AK19" s="107"/>
      <c r="AL19" s="212"/>
      <c r="AM19" s="212"/>
      <c r="AN19" s="213"/>
      <c r="AO19" s="106"/>
      <c r="AP19" s="107"/>
      <c r="AQ19" s="214"/>
      <c r="AR19" s="220"/>
      <c r="AS19" s="245"/>
      <c r="AT19" s="107"/>
      <c r="AU19" s="239"/>
      <c r="AV19" s="239"/>
      <c r="AW19" s="239"/>
      <c r="AX19" s="240"/>
    </row>
    <row r="20" ht="15.75" customHeight="1">
      <c r="A20" s="241"/>
      <c r="B20" s="213"/>
      <c r="C20" s="107"/>
      <c r="D20" s="212"/>
      <c r="E20" s="242"/>
      <c r="F20" s="243"/>
      <c r="G20" s="106"/>
      <c r="H20" s="107"/>
      <c r="I20" s="242"/>
      <c r="J20" s="220"/>
      <c r="K20" s="245"/>
      <c r="L20" s="107"/>
      <c r="M20" s="239"/>
      <c r="N20" s="239"/>
      <c r="O20" s="239"/>
      <c r="P20" s="240"/>
      <c r="Q20" s="179"/>
      <c r="R20" s="213"/>
      <c r="S20" s="107"/>
      <c r="T20" s="207"/>
      <c r="U20" s="208"/>
      <c r="V20" s="207"/>
      <c r="W20" s="207"/>
      <c r="X20" s="45"/>
      <c r="Y20" s="46"/>
      <c r="Z20" s="246"/>
      <c r="AA20" s="217"/>
      <c r="AB20" s="245"/>
      <c r="AC20" s="107"/>
      <c r="AD20" s="239"/>
      <c r="AE20" s="239"/>
      <c r="AF20" s="239"/>
      <c r="AG20" s="240"/>
      <c r="AH20" s="211"/>
      <c r="AI20" s="212"/>
      <c r="AJ20" s="213"/>
      <c r="AK20" s="107"/>
      <c r="AL20" s="212"/>
      <c r="AM20" s="212"/>
      <c r="AN20" s="213"/>
      <c r="AO20" s="106"/>
      <c r="AP20" s="107"/>
      <c r="AQ20" s="214"/>
      <c r="AR20" s="220"/>
      <c r="AS20" s="245"/>
      <c r="AT20" s="107"/>
      <c r="AU20" s="239"/>
      <c r="AV20" s="239"/>
      <c r="AW20" s="239"/>
      <c r="AX20" s="240"/>
    </row>
    <row r="21" ht="15.75" customHeight="1">
      <c r="A21" s="241"/>
      <c r="B21" s="213"/>
      <c r="C21" s="107"/>
      <c r="D21" s="212"/>
      <c r="E21" s="242"/>
      <c r="F21" s="243"/>
      <c r="G21" s="106"/>
      <c r="H21" s="107"/>
      <c r="I21" s="242"/>
      <c r="J21" s="220"/>
      <c r="K21" s="238"/>
      <c r="L21" s="107"/>
      <c r="M21" s="239"/>
      <c r="N21" s="239"/>
      <c r="O21" s="239"/>
      <c r="P21" s="240"/>
      <c r="Q21" s="179"/>
      <c r="R21" s="213"/>
      <c r="S21" s="107"/>
      <c r="T21" s="207"/>
      <c r="U21" s="208"/>
      <c r="V21" s="207"/>
      <c r="W21" s="207"/>
      <c r="X21" s="45"/>
      <c r="Y21" s="46"/>
      <c r="Z21" s="246"/>
      <c r="AA21" s="217"/>
      <c r="AB21" s="245"/>
      <c r="AC21" s="107"/>
      <c r="AD21" s="239"/>
      <c r="AE21" s="239"/>
      <c r="AF21" s="239"/>
      <c r="AG21" s="240"/>
      <c r="AH21" s="211"/>
      <c r="AI21" s="212"/>
      <c r="AJ21" s="213"/>
      <c r="AK21" s="107"/>
      <c r="AL21" s="212"/>
      <c r="AM21" s="212"/>
      <c r="AN21" s="213"/>
      <c r="AO21" s="106"/>
      <c r="AP21" s="107"/>
      <c r="AQ21" s="214"/>
      <c r="AR21" s="220"/>
      <c r="AS21" s="238"/>
      <c r="AT21" s="107"/>
      <c r="AU21" s="239"/>
      <c r="AV21" s="239"/>
      <c r="AW21" s="239"/>
      <c r="AX21" s="240"/>
    </row>
    <row r="22" ht="15.75" customHeight="1">
      <c r="A22" s="241"/>
      <c r="B22" s="213"/>
      <c r="C22" s="107"/>
      <c r="D22" s="212"/>
      <c r="E22" s="242"/>
      <c r="F22" s="243"/>
      <c r="G22" s="106"/>
      <c r="H22" s="107"/>
      <c r="I22" s="242"/>
      <c r="J22" s="220"/>
      <c r="K22" s="238"/>
      <c r="L22" s="107"/>
      <c r="M22" s="239"/>
      <c r="N22" s="239"/>
      <c r="O22" s="239"/>
      <c r="P22" s="240"/>
      <c r="Q22" s="179"/>
      <c r="R22" s="207"/>
      <c r="S22" s="46"/>
      <c r="T22" s="207"/>
      <c r="U22" s="208"/>
      <c r="V22" s="207"/>
      <c r="W22" s="207"/>
      <c r="X22" s="45"/>
      <c r="Y22" s="46"/>
      <c r="Z22" s="246"/>
      <c r="AA22" s="217"/>
      <c r="AB22" s="245"/>
      <c r="AC22" s="107"/>
      <c r="AD22" s="239"/>
      <c r="AE22" s="239"/>
      <c r="AF22" s="239"/>
      <c r="AG22" s="240"/>
      <c r="AH22" s="211"/>
      <c r="AI22" s="212"/>
      <c r="AJ22" s="213"/>
      <c r="AK22" s="107"/>
      <c r="AL22" s="212"/>
      <c r="AM22" s="212"/>
      <c r="AN22" s="213"/>
      <c r="AO22" s="106"/>
      <c r="AP22" s="107"/>
      <c r="AQ22" s="214"/>
      <c r="AR22" s="220"/>
      <c r="AS22" s="238"/>
      <c r="AT22" s="107"/>
      <c r="AU22" s="239"/>
      <c r="AV22" s="239"/>
      <c r="AW22" s="239"/>
      <c r="AX22" s="240"/>
    </row>
    <row r="23" ht="15.75" customHeight="1">
      <c r="A23" s="241"/>
      <c r="B23" s="213"/>
      <c r="C23" s="107"/>
      <c r="D23" s="212"/>
      <c r="E23" s="242"/>
      <c r="F23" s="243"/>
      <c r="G23" s="106"/>
      <c r="H23" s="107"/>
      <c r="I23" s="242"/>
      <c r="J23" s="220"/>
      <c r="K23" s="238"/>
      <c r="L23" s="107"/>
      <c r="M23" s="239"/>
      <c r="N23" s="239"/>
      <c r="O23" s="239"/>
      <c r="P23" s="240"/>
      <c r="Q23" s="179"/>
      <c r="R23" s="207"/>
      <c r="S23" s="46"/>
      <c r="T23" s="207"/>
      <c r="U23" s="208"/>
      <c r="V23" s="207"/>
      <c r="W23" s="207"/>
      <c r="X23" s="45"/>
      <c r="Y23" s="46"/>
      <c r="Z23" s="246"/>
      <c r="AA23" s="217"/>
      <c r="AB23" s="238"/>
      <c r="AC23" s="107"/>
      <c r="AD23" s="239"/>
      <c r="AE23" s="239"/>
      <c r="AF23" s="239"/>
      <c r="AG23" s="240"/>
      <c r="AH23" s="211"/>
      <c r="AI23" s="212"/>
      <c r="AJ23" s="213"/>
      <c r="AK23" s="107"/>
      <c r="AL23" s="212"/>
      <c r="AM23" s="212"/>
      <c r="AN23" s="213"/>
      <c r="AO23" s="106"/>
      <c r="AP23" s="107"/>
      <c r="AQ23" s="214"/>
      <c r="AR23" s="220"/>
      <c r="AS23" s="238"/>
      <c r="AT23" s="107"/>
      <c r="AU23" s="239"/>
      <c r="AV23" s="239"/>
      <c r="AW23" s="239"/>
      <c r="AX23" s="240"/>
    </row>
    <row r="24" ht="15.75" customHeight="1">
      <c r="A24" s="241"/>
      <c r="B24" s="213"/>
      <c r="C24" s="107"/>
      <c r="D24" s="212"/>
      <c r="E24" s="242"/>
      <c r="F24" s="243"/>
      <c r="G24" s="106"/>
      <c r="H24" s="107"/>
      <c r="I24" s="242"/>
      <c r="J24" s="220"/>
      <c r="K24" s="238"/>
      <c r="L24" s="107"/>
      <c r="M24" s="239"/>
      <c r="N24" s="239"/>
      <c r="O24" s="239"/>
      <c r="P24" s="240"/>
      <c r="Q24" s="179"/>
      <c r="R24" s="207"/>
      <c r="S24" s="46"/>
      <c r="T24" s="207"/>
      <c r="U24" s="208"/>
      <c r="V24" s="207"/>
      <c r="W24" s="207"/>
      <c r="X24" s="45"/>
      <c r="Y24" s="46"/>
      <c r="Z24" s="246"/>
      <c r="AA24" s="217"/>
      <c r="AB24" s="238"/>
      <c r="AC24" s="107"/>
      <c r="AD24" s="239"/>
      <c r="AE24" s="239"/>
      <c r="AF24" s="239"/>
      <c r="AG24" s="240"/>
      <c r="AH24" s="211"/>
      <c r="AI24" s="212"/>
      <c r="AJ24" s="213"/>
      <c r="AK24" s="107"/>
      <c r="AL24" s="212"/>
      <c r="AM24" s="212"/>
      <c r="AN24" s="213"/>
      <c r="AO24" s="106"/>
      <c r="AP24" s="107"/>
      <c r="AQ24" s="214"/>
      <c r="AR24" s="220"/>
      <c r="AS24" s="238"/>
      <c r="AT24" s="107"/>
      <c r="AU24" s="239"/>
      <c r="AV24" s="239"/>
      <c r="AW24" s="239"/>
      <c r="AX24" s="240"/>
    </row>
    <row r="25" ht="15.75" customHeight="1">
      <c r="A25" s="200"/>
      <c r="B25" s="213"/>
      <c r="C25" s="107"/>
      <c r="D25" s="212"/>
      <c r="E25" s="212"/>
      <c r="F25" s="207"/>
      <c r="G25" s="45"/>
      <c r="H25" s="46"/>
      <c r="I25" s="246"/>
      <c r="J25" s="217"/>
      <c r="K25" s="238"/>
      <c r="L25" s="107"/>
      <c r="M25" s="239"/>
      <c r="N25" s="239"/>
      <c r="O25" s="239"/>
      <c r="P25" s="240"/>
      <c r="Q25" s="179"/>
      <c r="R25" s="207"/>
      <c r="S25" s="46"/>
      <c r="T25" s="207"/>
      <c r="U25" s="208"/>
      <c r="V25" s="207"/>
      <c r="W25" s="207"/>
      <c r="X25" s="45"/>
      <c r="Y25" s="46"/>
      <c r="Z25" s="246"/>
      <c r="AA25" s="217"/>
      <c r="AB25" s="238"/>
      <c r="AC25" s="107"/>
      <c r="AD25" s="239"/>
      <c r="AE25" s="239"/>
      <c r="AF25" s="239"/>
      <c r="AG25" s="240"/>
      <c r="AH25" s="211"/>
      <c r="AI25" s="212"/>
      <c r="AJ25" s="213"/>
      <c r="AK25" s="107"/>
      <c r="AL25" s="212"/>
      <c r="AM25" s="247"/>
      <c r="AN25" s="248"/>
      <c r="AO25" s="106"/>
      <c r="AP25" s="107"/>
      <c r="AQ25" s="249"/>
      <c r="AR25" s="220"/>
      <c r="AS25" s="238"/>
      <c r="AT25" s="107"/>
      <c r="AU25" s="239"/>
      <c r="AV25" s="239"/>
      <c r="AW25" s="239"/>
      <c r="AX25" s="240"/>
    </row>
    <row r="26" ht="15.75" customHeight="1">
      <c r="A26" s="200"/>
      <c r="B26" s="213"/>
      <c r="C26" s="107"/>
      <c r="D26" s="213"/>
      <c r="E26" s="213"/>
      <c r="F26" s="213"/>
      <c r="G26" s="106"/>
      <c r="H26" s="107"/>
      <c r="I26" s="210"/>
      <c r="J26" s="217"/>
      <c r="K26" s="238"/>
      <c r="L26" s="107"/>
      <c r="M26" s="239"/>
      <c r="N26" s="239"/>
      <c r="O26" s="239"/>
      <c r="P26" s="240"/>
      <c r="Q26" s="179"/>
      <c r="R26" s="207"/>
      <c r="S26" s="46"/>
      <c r="T26" s="207"/>
      <c r="U26" s="208"/>
      <c r="V26" s="207"/>
      <c r="W26" s="207"/>
      <c r="X26" s="45"/>
      <c r="Y26" s="46"/>
      <c r="Z26" s="246"/>
      <c r="AA26" s="217"/>
      <c r="AB26" s="238"/>
      <c r="AC26" s="107"/>
      <c r="AD26" s="239"/>
      <c r="AE26" s="239"/>
      <c r="AF26" s="239"/>
      <c r="AG26" s="240"/>
      <c r="AH26" s="211"/>
      <c r="AI26" s="212"/>
      <c r="AJ26" s="213"/>
      <c r="AK26" s="107"/>
      <c r="AL26" s="212"/>
      <c r="AM26" s="250"/>
      <c r="AN26" s="251"/>
      <c r="AO26" s="106"/>
      <c r="AP26" s="107"/>
      <c r="AQ26" s="250"/>
      <c r="AR26" s="220"/>
      <c r="AS26" s="238"/>
      <c r="AT26" s="107"/>
      <c r="AU26" s="239"/>
      <c r="AV26" s="239"/>
      <c r="AW26" s="239"/>
      <c r="AX26" s="240"/>
    </row>
    <row r="27" ht="15.75" customHeight="1">
      <c r="A27" s="200"/>
      <c r="B27" s="213"/>
      <c r="C27" s="107"/>
      <c r="D27" s="213"/>
      <c r="E27" s="213"/>
      <c r="F27" s="213"/>
      <c r="G27" s="106"/>
      <c r="H27" s="107"/>
      <c r="I27" s="210"/>
      <c r="J27" s="217"/>
      <c r="K27" s="238"/>
      <c r="L27" s="107"/>
      <c r="M27" s="239"/>
      <c r="N27" s="239"/>
      <c r="O27" s="239"/>
      <c r="P27" s="240"/>
      <c r="Q27" s="179"/>
      <c r="R27" s="207"/>
      <c r="S27" s="46"/>
      <c r="T27" s="207"/>
      <c r="U27" s="208"/>
      <c r="V27" s="207"/>
      <c r="W27" s="207"/>
      <c r="X27" s="45"/>
      <c r="Y27" s="46"/>
      <c r="Z27" s="246"/>
      <c r="AA27" s="217"/>
      <c r="AB27" s="238"/>
      <c r="AC27" s="107"/>
      <c r="AD27" s="239"/>
      <c r="AE27" s="239"/>
      <c r="AF27" s="239"/>
      <c r="AG27" s="240"/>
      <c r="AH27" s="211"/>
      <c r="AI27" s="212"/>
      <c r="AJ27" s="213"/>
      <c r="AK27" s="107"/>
      <c r="AL27" s="212"/>
      <c r="AM27" s="250"/>
      <c r="AN27" s="251"/>
      <c r="AO27" s="106"/>
      <c r="AP27" s="107"/>
      <c r="AQ27" s="250"/>
      <c r="AR27" s="220"/>
      <c r="AS27" s="238"/>
      <c r="AT27" s="107"/>
      <c r="AU27" s="239"/>
      <c r="AV27" s="239"/>
      <c r="AW27" s="239"/>
      <c r="AX27" s="240"/>
    </row>
    <row r="28" ht="16.5" customHeight="1">
      <c r="A28" s="200"/>
      <c r="B28" s="213"/>
      <c r="C28" s="107"/>
      <c r="D28" s="213"/>
      <c r="E28" s="213"/>
      <c r="F28" s="213"/>
      <c r="G28" s="106"/>
      <c r="H28" s="107"/>
      <c r="I28" s="210"/>
      <c r="J28" s="217"/>
      <c r="K28" s="238"/>
      <c r="L28" s="107"/>
      <c r="M28" s="239"/>
      <c r="N28" s="239"/>
      <c r="O28" s="239"/>
      <c r="P28" s="240"/>
      <c r="Q28" s="179"/>
      <c r="R28" s="207"/>
      <c r="S28" s="46"/>
      <c r="T28" s="207"/>
      <c r="U28" s="208"/>
      <c r="V28" s="207"/>
      <c r="W28" s="207"/>
      <c r="X28" s="45"/>
      <c r="Y28" s="46"/>
      <c r="Z28" s="246"/>
      <c r="AA28" s="217"/>
      <c r="AB28" s="238"/>
      <c r="AC28" s="107"/>
      <c r="AD28" s="239"/>
      <c r="AE28" s="239"/>
      <c r="AF28" s="239"/>
      <c r="AG28" s="240"/>
      <c r="AH28" s="211"/>
      <c r="AI28" s="212"/>
      <c r="AJ28" s="213"/>
      <c r="AK28" s="107"/>
      <c r="AL28" s="212"/>
      <c r="AM28" s="250"/>
      <c r="AN28" s="251"/>
      <c r="AO28" s="106"/>
      <c r="AP28" s="107"/>
      <c r="AQ28" s="250"/>
      <c r="AR28" s="220"/>
      <c r="AS28" s="238"/>
      <c r="AT28" s="107"/>
      <c r="AU28" s="239"/>
      <c r="AV28" s="239"/>
      <c r="AW28" s="239"/>
      <c r="AX28" s="240"/>
    </row>
    <row r="29" ht="15.75" customHeight="1">
      <c r="A29" s="200"/>
      <c r="B29" s="213"/>
      <c r="C29" s="107"/>
      <c r="D29" s="213"/>
      <c r="E29" s="213"/>
      <c r="F29" s="213"/>
      <c r="G29" s="106"/>
      <c r="H29" s="107"/>
      <c r="I29" s="210"/>
      <c r="J29" s="217"/>
      <c r="K29" s="238"/>
      <c r="L29" s="107"/>
      <c r="M29" s="239"/>
      <c r="N29" s="239"/>
      <c r="O29" s="239"/>
      <c r="P29" s="240"/>
      <c r="Q29" s="179"/>
      <c r="R29" s="207"/>
      <c r="S29" s="46"/>
      <c r="T29" s="207"/>
      <c r="U29" s="208"/>
      <c r="V29" s="207"/>
      <c r="W29" s="207"/>
      <c r="X29" s="45"/>
      <c r="Y29" s="46"/>
      <c r="Z29" s="246"/>
      <c r="AA29" s="217"/>
      <c r="AB29" s="238"/>
      <c r="AC29" s="107"/>
      <c r="AD29" s="239"/>
      <c r="AE29" s="239"/>
      <c r="AF29" s="239"/>
      <c r="AG29" s="240"/>
      <c r="AH29" s="211"/>
      <c r="AI29" s="212"/>
      <c r="AJ29" s="213"/>
      <c r="AK29" s="107"/>
      <c r="AL29" s="212"/>
      <c r="AM29" s="250"/>
      <c r="AN29" s="251"/>
      <c r="AO29" s="106"/>
      <c r="AP29" s="107"/>
      <c r="AQ29" s="250"/>
      <c r="AR29" s="220"/>
      <c r="AS29" s="238"/>
      <c r="AT29" s="107"/>
      <c r="AU29" s="239"/>
      <c r="AV29" s="239"/>
      <c r="AW29" s="239"/>
      <c r="AX29" s="240"/>
    </row>
    <row r="30" ht="15.75" customHeight="1">
      <c r="A30" s="200"/>
      <c r="B30" s="213"/>
      <c r="C30" s="107"/>
      <c r="D30" s="213"/>
      <c r="E30" s="213"/>
      <c r="F30" s="213"/>
      <c r="G30" s="106"/>
      <c r="H30" s="107"/>
      <c r="I30" s="210"/>
      <c r="J30" s="217"/>
      <c r="K30" s="238"/>
      <c r="L30" s="107"/>
      <c r="M30" s="239"/>
      <c r="N30" s="239"/>
      <c r="O30" s="239"/>
      <c r="P30" s="240"/>
      <c r="Q30" s="179"/>
      <c r="R30" s="213"/>
      <c r="S30" s="107"/>
      <c r="T30" s="213"/>
      <c r="U30" s="219"/>
      <c r="V30" s="213"/>
      <c r="W30" s="213"/>
      <c r="X30" s="106"/>
      <c r="Y30" s="107"/>
      <c r="Z30" s="210"/>
      <c r="AA30" s="217"/>
      <c r="AB30" s="238"/>
      <c r="AC30" s="107"/>
      <c r="AD30" s="239"/>
      <c r="AE30" s="239"/>
      <c r="AF30" s="239"/>
      <c r="AG30" s="240"/>
      <c r="AH30" s="211"/>
      <c r="AI30" s="212"/>
      <c r="AJ30" s="213"/>
      <c r="AK30" s="107"/>
      <c r="AL30" s="212"/>
      <c r="AM30" s="250"/>
      <c r="AN30" s="251"/>
      <c r="AO30" s="106"/>
      <c r="AP30" s="107"/>
      <c r="AQ30" s="250"/>
      <c r="AR30" s="220"/>
      <c r="AS30" s="238"/>
      <c r="AT30" s="107"/>
      <c r="AU30" s="239"/>
      <c r="AV30" s="239"/>
      <c r="AW30" s="239"/>
      <c r="AX30" s="240"/>
    </row>
    <row r="31" ht="15.75" customHeight="1">
      <c r="A31" s="200"/>
      <c r="B31" s="213"/>
      <c r="C31" s="107"/>
      <c r="D31" s="213"/>
      <c r="E31" s="213"/>
      <c r="F31" s="213"/>
      <c r="G31" s="106"/>
      <c r="H31" s="107"/>
      <c r="I31" s="210"/>
      <c r="J31" s="217"/>
      <c r="K31" s="238"/>
      <c r="L31" s="107"/>
      <c r="M31" s="239"/>
      <c r="N31" s="239"/>
      <c r="O31" s="239"/>
      <c r="P31" s="240"/>
      <c r="Q31" s="179"/>
      <c r="R31" s="213"/>
      <c r="S31" s="107"/>
      <c r="T31" s="213"/>
      <c r="U31" s="219"/>
      <c r="V31" s="213"/>
      <c r="W31" s="213"/>
      <c r="X31" s="106"/>
      <c r="Y31" s="107"/>
      <c r="Z31" s="210"/>
      <c r="AA31" s="217"/>
      <c r="AB31" s="238"/>
      <c r="AC31" s="107"/>
      <c r="AD31" s="239"/>
      <c r="AE31" s="239"/>
      <c r="AF31" s="239"/>
      <c r="AG31" s="240"/>
      <c r="AH31" s="211"/>
      <c r="AI31" s="212"/>
      <c r="AJ31" s="213"/>
      <c r="AK31" s="107"/>
      <c r="AL31" s="212"/>
      <c r="AM31" s="250"/>
      <c r="AN31" s="251"/>
      <c r="AO31" s="106"/>
      <c r="AP31" s="107"/>
      <c r="AQ31" s="250"/>
      <c r="AR31" s="220"/>
      <c r="AS31" s="238"/>
      <c r="AT31" s="107"/>
      <c r="AU31" s="239"/>
      <c r="AV31" s="239"/>
      <c r="AW31" s="239"/>
      <c r="AX31" s="240"/>
    </row>
    <row r="32" ht="15.75" customHeight="1">
      <c r="A32" s="200"/>
      <c r="B32" s="213"/>
      <c r="C32" s="107"/>
      <c r="D32" s="213"/>
      <c r="E32" s="213"/>
      <c r="F32" s="213"/>
      <c r="G32" s="106"/>
      <c r="H32" s="107"/>
      <c r="I32" s="210"/>
      <c r="J32" s="217"/>
      <c r="K32" s="238"/>
      <c r="L32" s="107"/>
      <c r="M32" s="239"/>
      <c r="N32" s="239"/>
      <c r="O32" s="239"/>
      <c r="P32" s="240"/>
      <c r="Q32" s="179"/>
      <c r="R32" s="213"/>
      <c r="S32" s="107"/>
      <c r="T32" s="213"/>
      <c r="U32" s="219"/>
      <c r="V32" s="213"/>
      <c r="W32" s="213"/>
      <c r="X32" s="106"/>
      <c r="Y32" s="107"/>
      <c r="Z32" s="210"/>
      <c r="AA32" s="217"/>
      <c r="AB32" s="238"/>
      <c r="AC32" s="107"/>
      <c r="AD32" s="239"/>
      <c r="AE32" s="239"/>
      <c r="AF32" s="239"/>
      <c r="AG32" s="240"/>
      <c r="AH32" s="211"/>
      <c r="AI32" s="212"/>
      <c r="AJ32" s="213"/>
      <c r="AK32" s="107"/>
      <c r="AL32" s="212"/>
      <c r="AM32" s="250"/>
      <c r="AN32" s="251"/>
      <c r="AO32" s="106"/>
      <c r="AP32" s="107"/>
      <c r="AQ32" s="250"/>
      <c r="AR32" s="220"/>
      <c r="AS32" s="238"/>
      <c r="AT32" s="107"/>
      <c r="AU32" s="239"/>
      <c r="AV32" s="239"/>
      <c r="AW32" s="239"/>
      <c r="AX32" s="240"/>
    </row>
    <row r="33" ht="15.75" customHeight="1">
      <c r="A33" s="200"/>
      <c r="B33" s="213"/>
      <c r="C33" s="107"/>
      <c r="D33" s="213"/>
      <c r="E33" s="213"/>
      <c r="F33" s="213"/>
      <c r="G33" s="106"/>
      <c r="H33" s="107"/>
      <c r="I33" s="210"/>
      <c r="J33" s="217"/>
      <c r="K33" s="238"/>
      <c r="L33" s="107"/>
      <c r="M33" s="239"/>
      <c r="N33" s="239"/>
      <c r="O33" s="239"/>
      <c r="P33" s="240"/>
      <c r="Q33" s="179"/>
      <c r="R33" s="213"/>
      <c r="S33" s="107"/>
      <c r="T33" s="213"/>
      <c r="U33" s="219"/>
      <c r="V33" s="213"/>
      <c r="W33" s="213"/>
      <c r="X33" s="106"/>
      <c r="Y33" s="107"/>
      <c r="Z33" s="210"/>
      <c r="AA33" s="217"/>
      <c r="AB33" s="238"/>
      <c r="AC33" s="107"/>
      <c r="AD33" s="239"/>
      <c r="AE33" s="239"/>
      <c r="AF33" s="239"/>
      <c r="AG33" s="240"/>
      <c r="AH33" s="211"/>
      <c r="AI33" s="212"/>
      <c r="AJ33" s="213"/>
      <c r="AK33" s="107"/>
      <c r="AL33" s="212"/>
      <c r="AM33" s="250"/>
      <c r="AN33" s="251"/>
      <c r="AO33" s="106"/>
      <c r="AP33" s="107"/>
      <c r="AQ33" s="250"/>
      <c r="AR33" s="220"/>
      <c r="AS33" s="238"/>
      <c r="AT33" s="107"/>
      <c r="AU33" s="239"/>
      <c r="AV33" s="239"/>
      <c r="AW33" s="239"/>
      <c r="AX33" s="240"/>
    </row>
    <row r="34" ht="15.75" customHeight="1">
      <c r="A34" s="200"/>
      <c r="B34" s="213"/>
      <c r="C34" s="107"/>
      <c r="D34" s="213"/>
      <c r="E34" s="213"/>
      <c r="F34" s="213"/>
      <c r="G34" s="106"/>
      <c r="H34" s="107"/>
      <c r="I34" s="210"/>
      <c r="J34" s="217"/>
      <c r="K34" s="238"/>
      <c r="L34" s="107"/>
      <c r="M34" s="239"/>
      <c r="N34" s="239"/>
      <c r="O34" s="239"/>
      <c r="P34" s="240"/>
      <c r="Q34" s="179"/>
      <c r="R34" s="213"/>
      <c r="S34" s="107"/>
      <c r="T34" s="213"/>
      <c r="U34" s="219"/>
      <c r="V34" s="213"/>
      <c r="W34" s="213"/>
      <c r="X34" s="106"/>
      <c r="Y34" s="107"/>
      <c r="Z34" s="210"/>
      <c r="AA34" s="217"/>
      <c r="AB34" s="238"/>
      <c r="AC34" s="107"/>
      <c r="AD34" s="239"/>
      <c r="AE34" s="239"/>
      <c r="AF34" s="239"/>
      <c r="AG34" s="240"/>
      <c r="AH34" s="211"/>
      <c r="AI34" s="212"/>
      <c r="AJ34" s="213"/>
      <c r="AK34" s="107"/>
      <c r="AL34" s="212"/>
      <c r="AM34" s="250"/>
      <c r="AN34" s="251"/>
      <c r="AO34" s="106"/>
      <c r="AP34" s="107"/>
      <c r="AQ34" s="250"/>
      <c r="AR34" s="220"/>
      <c r="AS34" s="238"/>
      <c r="AT34" s="107"/>
      <c r="AU34" s="239"/>
      <c r="AV34" s="239"/>
      <c r="AW34" s="239"/>
      <c r="AX34" s="240"/>
    </row>
    <row r="35" ht="15.75" customHeight="1">
      <c r="A35" s="200"/>
      <c r="B35" s="213"/>
      <c r="C35" s="107"/>
      <c r="D35" s="213"/>
      <c r="E35" s="213"/>
      <c r="F35" s="213"/>
      <c r="G35" s="106"/>
      <c r="H35" s="107"/>
      <c r="I35" s="210"/>
      <c r="J35" s="217"/>
      <c r="K35" s="238"/>
      <c r="L35" s="107"/>
      <c r="M35" s="239"/>
      <c r="N35" s="239"/>
      <c r="O35" s="239"/>
      <c r="P35" s="240"/>
      <c r="Q35" s="179"/>
      <c r="R35" s="213"/>
      <c r="S35" s="107"/>
      <c r="T35" s="213"/>
      <c r="U35" s="219"/>
      <c r="V35" s="213"/>
      <c r="W35" s="213"/>
      <c r="X35" s="106"/>
      <c r="Y35" s="107"/>
      <c r="Z35" s="210"/>
      <c r="AA35" s="217"/>
      <c r="AB35" s="238"/>
      <c r="AC35" s="107"/>
      <c r="AD35" s="239"/>
      <c r="AE35" s="239"/>
      <c r="AF35" s="239"/>
      <c r="AG35" s="240"/>
      <c r="AH35" s="211"/>
      <c r="AI35" s="212"/>
      <c r="AJ35" s="213"/>
      <c r="AK35" s="107"/>
      <c r="AL35" s="212"/>
      <c r="AM35" s="250"/>
      <c r="AN35" s="251"/>
      <c r="AO35" s="106"/>
      <c r="AP35" s="107"/>
      <c r="AQ35" s="250"/>
      <c r="AR35" s="220"/>
      <c r="AS35" s="238"/>
      <c r="AT35" s="107"/>
      <c r="AU35" s="239"/>
      <c r="AV35" s="239"/>
      <c r="AW35" s="239"/>
      <c r="AX35" s="240"/>
    </row>
    <row r="36" ht="15.75" customHeight="1">
      <c r="A36" s="200"/>
      <c r="B36" s="213"/>
      <c r="C36" s="107"/>
      <c r="D36" s="213"/>
      <c r="E36" s="213"/>
      <c r="F36" s="213"/>
      <c r="G36" s="106"/>
      <c r="H36" s="107"/>
      <c r="I36" s="210"/>
      <c r="J36" s="217"/>
      <c r="K36" s="238"/>
      <c r="L36" s="107"/>
      <c r="M36" s="239"/>
      <c r="N36" s="239"/>
      <c r="O36" s="239"/>
      <c r="P36" s="240"/>
      <c r="Q36" s="179"/>
      <c r="R36" s="213"/>
      <c r="S36" s="107"/>
      <c r="T36" s="213"/>
      <c r="U36" s="219"/>
      <c r="V36" s="213"/>
      <c r="W36" s="213"/>
      <c r="X36" s="106"/>
      <c r="Y36" s="107"/>
      <c r="Z36" s="210"/>
      <c r="AA36" s="217"/>
      <c r="AB36" s="238"/>
      <c r="AC36" s="107"/>
      <c r="AD36" s="239"/>
      <c r="AE36" s="239"/>
      <c r="AF36" s="239"/>
      <c r="AG36" s="240"/>
      <c r="AH36" s="211"/>
      <c r="AI36" s="212"/>
      <c r="AJ36" s="207"/>
      <c r="AK36" s="46"/>
      <c r="AL36" s="207"/>
      <c r="AM36" s="252"/>
      <c r="AN36" s="252"/>
      <c r="AO36" s="45"/>
      <c r="AP36" s="46"/>
      <c r="AQ36" s="253"/>
      <c r="AR36" s="217"/>
      <c r="AS36" s="238"/>
      <c r="AT36" s="107"/>
      <c r="AU36" s="239"/>
      <c r="AV36" s="239"/>
      <c r="AW36" s="239"/>
      <c r="AX36" s="240"/>
    </row>
    <row r="37" ht="15.75" customHeight="1">
      <c r="A37" s="200"/>
      <c r="B37" s="213"/>
      <c r="C37" s="107"/>
      <c r="D37" s="213"/>
      <c r="E37" s="213"/>
      <c r="F37" s="213"/>
      <c r="G37" s="106"/>
      <c r="H37" s="107"/>
      <c r="I37" s="210"/>
      <c r="J37" s="217"/>
      <c r="K37" s="238"/>
      <c r="L37" s="107"/>
      <c r="M37" s="239"/>
      <c r="N37" s="239"/>
      <c r="O37" s="239"/>
      <c r="P37" s="240"/>
      <c r="Q37" s="179"/>
      <c r="R37" s="213"/>
      <c r="S37" s="107"/>
      <c r="T37" s="213"/>
      <c r="U37" s="219"/>
      <c r="V37" s="213"/>
      <c r="W37" s="213"/>
      <c r="X37" s="106"/>
      <c r="Y37" s="107"/>
      <c r="Z37" s="210"/>
      <c r="AA37" s="217"/>
      <c r="AB37" s="238"/>
      <c r="AC37" s="107"/>
      <c r="AD37" s="239"/>
      <c r="AE37" s="239"/>
      <c r="AF37" s="239"/>
      <c r="AG37" s="240"/>
      <c r="AH37" s="211"/>
      <c r="AI37" s="212"/>
      <c r="AJ37" s="213"/>
      <c r="AK37" s="107"/>
      <c r="AL37" s="213"/>
      <c r="AM37" s="213"/>
      <c r="AN37" s="213"/>
      <c r="AO37" s="106"/>
      <c r="AP37" s="107"/>
      <c r="AQ37" s="210"/>
      <c r="AR37" s="217"/>
      <c r="AS37" s="238"/>
      <c r="AT37" s="107"/>
      <c r="AU37" s="239"/>
      <c r="AV37" s="239"/>
      <c r="AW37" s="239"/>
      <c r="AX37" s="240"/>
    </row>
    <row r="38" ht="15.75" customHeight="1">
      <c r="A38" s="200"/>
      <c r="B38" s="213"/>
      <c r="C38" s="107"/>
      <c r="D38" s="213"/>
      <c r="E38" s="213"/>
      <c r="F38" s="213"/>
      <c r="G38" s="106"/>
      <c r="H38" s="107"/>
      <c r="I38" s="210"/>
      <c r="J38" s="217"/>
      <c r="K38" s="238"/>
      <c r="L38" s="107"/>
      <c r="M38" s="239"/>
      <c r="N38" s="239"/>
      <c r="O38" s="239"/>
      <c r="P38" s="240"/>
      <c r="Q38" s="179"/>
      <c r="R38" s="213"/>
      <c r="S38" s="107"/>
      <c r="T38" s="213"/>
      <c r="U38" s="219"/>
      <c r="V38" s="213"/>
      <c r="W38" s="213"/>
      <c r="X38" s="106"/>
      <c r="Y38" s="107"/>
      <c r="Z38" s="210"/>
      <c r="AA38" s="217"/>
      <c r="AB38" s="238"/>
      <c r="AC38" s="107"/>
      <c r="AD38" s="239"/>
      <c r="AE38" s="239"/>
      <c r="AF38" s="239"/>
      <c r="AG38" s="240"/>
      <c r="AH38" s="211"/>
      <c r="AI38" s="212"/>
      <c r="AJ38" s="213"/>
      <c r="AK38" s="107"/>
      <c r="AL38" s="213"/>
      <c r="AM38" s="213"/>
      <c r="AN38" s="213"/>
      <c r="AO38" s="106"/>
      <c r="AP38" s="107"/>
      <c r="AQ38" s="210"/>
      <c r="AR38" s="217"/>
      <c r="AS38" s="238"/>
      <c r="AT38" s="107"/>
      <c r="AU38" s="239"/>
      <c r="AV38" s="239"/>
      <c r="AW38" s="239"/>
      <c r="AX38" s="240"/>
    </row>
    <row r="39" ht="15.75" customHeight="1">
      <c r="A39" s="200"/>
      <c r="B39" s="213"/>
      <c r="C39" s="107"/>
      <c r="D39" s="213"/>
      <c r="E39" s="213"/>
      <c r="F39" s="213"/>
      <c r="G39" s="106"/>
      <c r="H39" s="107"/>
      <c r="I39" s="210"/>
      <c r="J39" s="217"/>
      <c r="K39" s="238"/>
      <c r="L39" s="107"/>
      <c r="M39" s="239"/>
      <c r="N39" s="239"/>
      <c r="O39" s="239"/>
      <c r="P39" s="240"/>
      <c r="Q39" s="179"/>
      <c r="R39" s="213"/>
      <c r="S39" s="107"/>
      <c r="T39" s="213"/>
      <c r="U39" s="219"/>
      <c r="V39" s="213"/>
      <c r="W39" s="213"/>
      <c r="X39" s="106"/>
      <c r="Y39" s="107"/>
      <c r="Z39" s="210"/>
      <c r="AA39" s="217"/>
      <c r="AB39" s="238"/>
      <c r="AC39" s="107"/>
      <c r="AD39" s="239"/>
      <c r="AE39" s="239"/>
      <c r="AF39" s="239"/>
      <c r="AG39" s="240"/>
      <c r="AH39" s="211"/>
      <c r="AI39" s="212"/>
      <c r="AJ39" s="213"/>
      <c r="AK39" s="107"/>
      <c r="AL39" s="213"/>
      <c r="AM39" s="213"/>
      <c r="AN39" s="213"/>
      <c r="AO39" s="106"/>
      <c r="AP39" s="107"/>
      <c r="AQ39" s="210"/>
      <c r="AR39" s="217"/>
      <c r="AS39" s="238"/>
      <c r="AT39" s="107"/>
      <c r="AU39" s="239"/>
      <c r="AV39" s="239"/>
      <c r="AW39" s="239"/>
      <c r="AX39" s="240"/>
    </row>
    <row r="40" ht="15.75" customHeight="1">
      <c r="A40" s="200"/>
      <c r="B40" s="213"/>
      <c r="C40" s="107"/>
      <c r="D40" s="213"/>
      <c r="E40" s="213"/>
      <c r="F40" s="213"/>
      <c r="G40" s="106"/>
      <c r="H40" s="107"/>
      <c r="I40" s="210"/>
      <c r="J40" s="217"/>
      <c r="K40" s="238"/>
      <c r="L40" s="107"/>
      <c r="M40" s="239"/>
      <c r="N40" s="239"/>
      <c r="O40" s="239"/>
      <c r="P40" s="240"/>
      <c r="Q40" s="179"/>
      <c r="R40" s="213"/>
      <c r="S40" s="107"/>
      <c r="T40" s="213"/>
      <c r="U40" s="219"/>
      <c r="V40" s="213"/>
      <c r="W40" s="213"/>
      <c r="X40" s="106"/>
      <c r="Y40" s="107"/>
      <c r="Z40" s="210"/>
      <c r="AA40" s="217"/>
      <c r="AB40" s="238"/>
      <c r="AC40" s="107"/>
      <c r="AD40" s="239"/>
      <c r="AE40" s="239"/>
      <c r="AF40" s="239"/>
      <c r="AG40" s="240"/>
      <c r="AH40" s="211"/>
      <c r="AI40" s="212"/>
      <c r="AJ40" s="213"/>
      <c r="AK40" s="107"/>
      <c r="AL40" s="213"/>
      <c r="AM40" s="213"/>
      <c r="AN40" s="213"/>
      <c r="AO40" s="106"/>
      <c r="AP40" s="107"/>
      <c r="AQ40" s="210"/>
      <c r="AR40" s="217"/>
      <c r="AS40" s="238"/>
      <c r="AT40" s="107"/>
      <c r="AU40" s="239"/>
      <c r="AV40" s="239"/>
      <c r="AW40" s="239"/>
      <c r="AX40" s="240"/>
    </row>
    <row r="41" ht="15.75" customHeight="1">
      <c r="A41" s="200"/>
      <c r="B41" s="213"/>
      <c r="C41" s="107"/>
      <c r="D41" s="213"/>
      <c r="E41" s="213"/>
      <c r="F41" s="213"/>
      <c r="G41" s="106"/>
      <c r="H41" s="107"/>
      <c r="I41" s="210"/>
      <c r="J41" s="217"/>
      <c r="K41" s="238"/>
      <c r="L41" s="107"/>
      <c r="M41" s="239"/>
      <c r="N41" s="239"/>
      <c r="O41" s="239"/>
      <c r="P41" s="240"/>
      <c r="Q41" s="179"/>
      <c r="R41" s="213"/>
      <c r="S41" s="107"/>
      <c r="T41" s="213"/>
      <c r="U41" s="219"/>
      <c r="V41" s="213"/>
      <c r="W41" s="213"/>
      <c r="X41" s="106"/>
      <c r="Y41" s="107"/>
      <c r="Z41" s="210"/>
      <c r="AA41" s="217"/>
      <c r="AB41" s="238"/>
      <c r="AC41" s="107"/>
      <c r="AD41" s="239"/>
      <c r="AE41" s="239"/>
      <c r="AF41" s="239"/>
      <c r="AG41" s="240"/>
      <c r="AH41" s="211"/>
      <c r="AI41" s="212"/>
      <c r="AJ41" s="213"/>
      <c r="AK41" s="107"/>
      <c r="AL41" s="213"/>
      <c r="AM41" s="213"/>
      <c r="AN41" s="213"/>
      <c r="AO41" s="106"/>
      <c r="AP41" s="107"/>
      <c r="AQ41" s="210"/>
      <c r="AR41" s="217"/>
      <c r="AS41" s="238"/>
      <c r="AT41" s="107"/>
      <c r="AU41" s="239"/>
      <c r="AV41" s="239"/>
      <c r="AW41" s="239"/>
      <c r="AX41" s="240"/>
    </row>
    <row r="42" ht="15.75" customHeight="1">
      <c r="A42" s="200"/>
      <c r="B42" s="213"/>
      <c r="C42" s="107"/>
      <c r="D42" s="213"/>
      <c r="E42" s="213"/>
      <c r="F42" s="213"/>
      <c r="G42" s="106"/>
      <c r="H42" s="107"/>
      <c r="I42" s="210"/>
      <c r="J42" s="217"/>
      <c r="K42" s="238"/>
      <c r="L42" s="107"/>
      <c r="M42" s="239"/>
      <c r="N42" s="239"/>
      <c r="O42" s="239"/>
      <c r="P42" s="240"/>
      <c r="Q42" s="179"/>
      <c r="R42" s="213"/>
      <c r="S42" s="107"/>
      <c r="T42" s="213"/>
      <c r="U42" s="219"/>
      <c r="V42" s="213"/>
      <c r="W42" s="213"/>
      <c r="X42" s="106"/>
      <c r="Y42" s="107"/>
      <c r="Z42" s="210"/>
      <c r="AA42" s="217"/>
      <c r="AB42" s="238"/>
      <c r="AC42" s="107"/>
      <c r="AD42" s="239"/>
      <c r="AE42" s="239"/>
      <c r="AF42" s="239"/>
      <c r="AG42" s="240"/>
      <c r="AH42" s="211"/>
      <c r="AI42" s="212"/>
      <c r="AJ42" s="213"/>
      <c r="AK42" s="107"/>
      <c r="AL42" s="213"/>
      <c r="AM42" s="213"/>
      <c r="AN42" s="213"/>
      <c r="AO42" s="106"/>
      <c r="AP42" s="107"/>
      <c r="AQ42" s="210"/>
      <c r="AR42" s="217"/>
      <c r="AS42" s="238"/>
      <c r="AT42" s="107"/>
      <c r="AU42" s="239"/>
      <c r="AV42" s="239"/>
      <c r="AW42" s="239"/>
      <c r="AX42" s="240"/>
    </row>
    <row r="43" ht="15.75" customHeight="1">
      <c r="A43" s="200"/>
      <c r="B43" s="213"/>
      <c r="C43" s="107"/>
      <c r="D43" s="213"/>
      <c r="E43" s="213"/>
      <c r="F43" s="213"/>
      <c r="G43" s="106"/>
      <c r="H43" s="107"/>
      <c r="I43" s="210"/>
      <c r="J43" s="217"/>
      <c r="K43" s="238"/>
      <c r="L43" s="107"/>
      <c r="M43" s="239"/>
      <c r="N43" s="239"/>
      <c r="O43" s="239"/>
      <c r="P43" s="240"/>
      <c r="Q43" s="179"/>
      <c r="R43" s="213"/>
      <c r="S43" s="107"/>
      <c r="T43" s="213"/>
      <c r="U43" s="219"/>
      <c r="V43" s="213"/>
      <c r="W43" s="213"/>
      <c r="X43" s="106"/>
      <c r="Y43" s="107"/>
      <c r="Z43" s="210"/>
      <c r="AA43" s="217"/>
      <c r="AB43" s="238"/>
      <c r="AC43" s="107"/>
      <c r="AD43" s="239"/>
      <c r="AE43" s="239"/>
      <c r="AF43" s="239"/>
      <c r="AG43" s="240"/>
      <c r="AH43" s="211"/>
      <c r="AI43" s="212"/>
      <c r="AJ43" s="213"/>
      <c r="AK43" s="107"/>
      <c r="AL43" s="213"/>
      <c r="AM43" s="213"/>
      <c r="AN43" s="213"/>
      <c r="AO43" s="106"/>
      <c r="AP43" s="107"/>
      <c r="AQ43" s="210"/>
      <c r="AR43" s="217"/>
      <c r="AS43" s="238"/>
      <c r="AT43" s="107"/>
      <c r="AU43" s="239"/>
      <c r="AV43" s="239"/>
      <c r="AW43" s="239"/>
      <c r="AX43" s="240"/>
    </row>
    <row r="44" ht="15.75" customHeight="1">
      <c r="A44" s="200"/>
      <c r="B44" s="213"/>
      <c r="C44" s="107"/>
      <c r="D44" s="213"/>
      <c r="E44" s="213"/>
      <c r="F44" s="213"/>
      <c r="G44" s="106"/>
      <c r="H44" s="107"/>
      <c r="I44" s="210"/>
      <c r="J44" s="217"/>
      <c r="K44" s="238"/>
      <c r="L44" s="107"/>
      <c r="M44" s="239"/>
      <c r="N44" s="239"/>
      <c r="O44" s="239"/>
      <c r="P44" s="240"/>
      <c r="Q44" s="179"/>
      <c r="R44" s="213"/>
      <c r="S44" s="107"/>
      <c r="T44" s="213"/>
      <c r="U44" s="219"/>
      <c r="V44" s="213"/>
      <c r="W44" s="213"/>
      <c r="X44" s="106"/>
      <c r="Y44" s="107"/>
      <c r="Z44" s="210"/>
      <c r="AA44" s="217"/>
      <c r="AB44" s="238"/>
      <c r="AC44" s="107"/>
      <c r="AD44" s="239"/>
      <c r="AE44" s="239"/>
      <c r="AF44" s="239"/>
      <c r="AG44" s="240"/>
      <c r="AH44" s="211"/>
      <c r="AI44" s="212"/>
      <c r="AJ44" s="213"/>
      <c r="AK44" s="107"/>
      <c r="AL44" s="213"/>
      <c r="AM44" s="213"/>
      <c r="AN44" s="213"/>
      <c r="AO44" s="106"/>
      <c r="AP44" s="107"/>
      <c r="AQ44" s="210"/>
      <c r="AR44" s="217"/>
      <c r="AS44" s="238"/>
      <c r="AT44" s="107"/>
      <c r="AU44" s="239"/>
      <c r="AV44" s="239"/>
      <c r="AW44" s="239"/>
      <c r="AX44" s="240"/>
    </row>
    <row r="45" ht="15.75" customHeight="1">
      <c r="A45" s="254"/>
      <c r="B45" s="255"/>
      <c r="C45" s="256"/>
      <c r="D45" s="255"/>
      <c r="E45" s="255"/>
      <c r="F45" s="255"/>
      <c r="G45" s="257"/>
      <c r="H45" s="256"/>
      <c r="I45" s="258"/>
      <c r="K45" s="259"/>
      <c r="L45" s="256"/>
      <c r="M45" s="260"/>
      <c r="N45" s="260"/>
      <c r="O45" s="260"/>
      <c r="P45" s="261"/>
      <c r="Q45" s="179"/>
      <c r="R45" s="255"/>
      <c r="S45" s="256"/>
      <c r="T45" s="255"/>
      <c r="U45" s="262"/>
      <c r="V45" s="255"/>
      <c r="W45" s="255"/>
      <c r="X45" s="257"/>
      <c r="Y45" s="256"/>
      <c r="Z45" s="258"/>
      <c r="AB45" s="259"/>
      <c r="AC45" s="256"/>
      <c r="AD45" s="260"/>
      <c r="AE45" s="260"/>
      <c r="AF45" s="260"/>
      <c r="AG45" s="261"/>
      <c r="AH45" s="211"/>
      <c r="AI45" s="212"/>
      <c r="AJ45" s="255"/>
      <c r="AK45" s="256"/>
      <c r="AL45" s="255"/>
      <c r="AM45" s="255"/>
      <c r="AN45" s="255"/>
      <c r="AO45" s="257"/>
      <c r="AP45" s="256"/>
      <c r="AQ45" s="258"/>
      <c r="AS45" s="259"/>
      <c r="AT45" s="256"/>
      <c r="AU45" s="260"/>
      <c r="AV45" s="260"/>
      <c r="AW45" s="260"/>
      <c r="AX45" s="261"/>
    </row>
    <row r="46" ht="15.75" customHeight="1">
      <c r="A46" s="263">
        <f>SUM(A5:A45)</f>
        <v>0</v>
      </c>
      <c r="D46" s="263">
        <f>SUM(D5:D45)</f>
        <v>0</v>
      </c>
      <c r="E46" s="263"/>
      <c r="U46" s="264">
        <f>SUM(U5:U45)</f>
        <v>0</v>
      </c>
      <c r="V46" s="264">
        <f>COUNT(U5:U45)</f>
        <v>0</v>
      </c>
      <c r="AI46" s="264">
        <f>SUM(AI5:AI45)</f>
        <v>0</v>
      </c>
    </row>
    <row r="47" ht="15.75" customHeight="1"/>
    <row r="48" ht="15.75" customHeight="1">
      <c r="R48" s="265"/>
      <c r="S48" s="265"/>
      <c r="T48" s="265"/>
      <c r="U48" s="265"/>
      <c r="V48" s="265"/>
      <c r="W48" s="265"/>
      <c r="X48" s="265"/>
      <c r="Y48" s="265"/>
      <c r="Z48" s="265"/>
      <c r="AA48" s="265"/>
      <c r="AB48" s="265"/>
      <c r="AC48" s="265"/>
      <c r="AD48" s="265"/>
      <c r="AE48" s="265"/>
    </row>
    <row r="49" ht="15.75" customHeight="1">
      <c r="R49" s="265"/>
      <c r="S49" s="265"/>
      <c r="T49" s="265"/>
      <c r="U49" s="265"/>
      <c r="V49" s="265"/>
      <c r="W49" s="265"/>
      <c r="X49" s="265"/>
      <c r="Y49" s="265"/>
      <c r="Z49" s="265"/>
      <c r="AA49" s="265"/>
      <c r="AB49" s="265"/>
      <c r="AC49" s="265"/>
      <c r="AD49" s="265"/>
      <c r="AE49" s="265"/>
    </row>
    <row r="50" ht="15.75" customHeight="1">
      <c r="R50" s="265"/>
      <c r="S50" s="265"/>
      <c r="T50" s="265"/>
      <c r="U50" s="265"/>
      <c r="V50" s="265"/>
      <c r="W50" s="265"/>
      <c r="X50" s="265"/>
      <c r="Y50" s="265"/>
      <c r="Z50" s="265"/>
      <c r="AA50" s="265"/>
      <c r="AB50" s="265"/>
      <c r="AC50" s="265"/>
      <c r="AD50" s="265"/>
      <c r="AE50" s="265"/>
    </row>
    <row r="51" ht="15.75" customHeight="1">
      <c r="R51" s="265"/>
      <c r="S51" s="265"/>
      <c r="T51" s="265"/>
      <c r="U51" s="265"/>
      <c r="V51" s="265"/>
      <c r="W51" s="265"/>
      <c r="X51" s="265"/>
      <c r="Y51" s="265"/>
      <c r="Z51" s="265"/>
      <c r="AA51" s="265"/>
      <c r="AB51" s="265"/>
      <c r="AC51" s="265"/>
      <c r="AD51" s="265"/>
      <c r="AE51" s="265"/>
    </row>
    <row r="52" ht="15.75" customHeight="1">
      <c r="R52" s="265"/>
      <c r="S52" s="265"/>
      <c r="T52" s="265"/>
      <c r="U52" s="265"/>
      <c r="V52" s="265"/>
      <c r="W52" s="265"/>
      <c r="X52" s="265"/>
      <c r="Y52" s="265"/>
      <c r="Z52" s="265"/>
      <c r="AA52" s="265"/>
      <c r="AB52" s="265"/>
      <c r="AC52" s="265"/>
      <c r="AD52" s="265"/>
      <c r="AE52" s="265"/>
    </row>
    <row r="53" ht="15.75" customHeight="1">
      <c r="R53" s="265"/>
      <c r="S53" s="265"/>
      <c r="T53" s="265"/>
      <c r="U53" s="265"/>
      <c r="V53" s="265"/>
      <c r="W53" s="265"/>
      <c r="X53" s="265"/>
      <c r="Y53" s="265"/>
      <c r="Z53" s="265"/>
      <c r="AA53" s="265"/>
      <c r="AB53" s="265"/>
      <c r="AC53" s="265"/>
      <c r="AD53" s="265"/>
      <c r="AE53" s="265"/>
    </row>
    <row r="54" ht="15.75" customHeight="1">
      <c r="R54" s="265"/>
      <c r="S54" s="265"/>
      <c r="T54" s="265"/>
      <c r="U54" s="265"/>
      <c r="V54" s="265"/>
      <c r="W54" s="265"/>
      <c r="X54" s="265"/>
      <c r="Y54" s="265"/>
      <c r="Z54" s="265"/>
      <c r="AA54" s="265"/>
      <c r="AB54" s="265"/>
      <c r="AC54" s="265"/>
      <c r="AD54" s="265"/>
      <c r="AE54" s="265"/>
    </row>
    <row r="55" ht="15.75" customHeight="1">
      <c r="R55" s="265"/>
      <c r="S55" s="265"/>
      <c r="T55" s="265"/>
      <c r="U55" s="265"/>
      <c r="V55" s="265"/>
      <c r="W55" s="265"/>
      <c r="X55" s="265"/>
      <c r="Y55" s="265"/>
      <c r="Z55" s="265"/>
      <c r="AA55" s="265"/>
      <c r="AB55" s="265"/>
      <c r="AC55" s="265"/>
      <c r="AD55" s="265"/>
      <c r="AE55" s="265"/>
    </row>
    <row r="56" ht="15.75" customHeight="1">
      <c r="R56" s="265"/>
      <c r="S56" s="265"/>
      <c r="T56" s="265"/>
      <c r="U56" s="265"/>
      <c r="V56" s="265"/>
      <c r="W56" s="265"/>
      <c r="X56" s="265"/>
      <c r="Y56" s="265"/>
      <c r="Z56" s="265"/>
      <c r="AA56" s="265"/>
      <c r="AB56" s="265"/>
      <c r="AC56" s="265"/>
      <c r="AD56" s="265"/>
      <c r="AE56" s="265"/>
    </row>
    <row r="57" ht="15.75" customHeight="1">
      <c r="R57" s="265"/>
      <c r="S57" s="265"/>
      <c r="T57" s="265"/>
      <c r="U57" s="265"/>
      <c r="V57" s="265"/>
      <c r="W57" s="265"/>
      <c r="X57" s="265"/>
      <c r="Y57" s="265"/>
      <c r="Z57" s="265"/>
      <c r="AA57" s="265"/>
      <c r="AB57" s="265"/>
      <c r="AC57" s="265"/>
      <c r="AD57" s="265"/>
      <c r="AE57" s="265"/>
    </row>
    <row r="58" ht="15.75" customHeight="1">
      <c r="R58" s="265"/>
      <c r="S58" s="265"/>
      <c r="T58" s="265"/>
      <c r="U58" s="265"/>
      <c r="V58" s="265"/>
      <c r="W58" s="265"/>
      <c r="X58" s="265"/>
      <c r="Y58" s="265"/>
      <c r="Z58" s="265"/>
      <c r="AA58" s="265"/>
      <c r="AB58" s="265"/>
      <c r="AC58" s="265"/>
      <c r="AD58" s="265"/>
      <c r="AE58" s="265"/>
    </row>
    <row r="59" ht="15.75" customHeight="1">
      <c r="R59" s="265"/>
      <c r="S59" s="265"/>
      <c r="T59" s="265"/>
      <c r="U59" s="265"/>
      <c r="V59" s="265"/>
      <c r="W59" s="265"/>
      <c r="X59" s="265"/>
      <c r="Y59" s="265"/>
      <c r="Z59" s="265"/>
      <c r="AA59" s="265"/>
      <c r="AB59" s="265"/>
      <c r="AC59" s="265"/>
      <c r="AD59" s="265"/>
      <c r="AE59" s="265"/>
    </row>
    <row r="60" ht="15.75" customHeight="1">
      <c r="R60" s="265"/>
      <c r="S60" s="265"/>
      <c r="T60" s="265"/>
      <c r="U60" s="265"/>
      <c r="V60" s="265"/>
      <c r="W60" s="265"/>
      <c r="X60" s="265"/>
      <c r="Y60" s="265"/>
      <c r="Z60" s="265"/>
      <c r="AA60" s="265"/>
      <c r="AB60" s="265"/>
      <c r="AC60" s="265"/>
      <c r="AD60" s="265"/>
      <c r="AE60" s="265"/>
    </row>
    <row r="61" ht="15.75" customHeight="1">
      <c r="R61" s="265"/>
      <c r="S61" s="265"/>
      <c r="T61" s="265"/>
      <c r="U61" s="265"/>
      <c r="V61" s="265"/>
      <c r="W61" s="265"/>
      <c r="X61" s="265"/>
      <c r="Y61" s="265"/>
      <c r="Z61" s="265"/>
      <c r="AA61" s="265"/>
      <c r="AB61" s="265"/>
      <c r="AC61" s="265"/>
      <c r="AD61" s="265"/>
      <c r="AE61" s="265"/>
    </row>
    <row r="62" ht="15.75" customHeight="1">
      <c r="R62" s="265"/>
      <c r="S62" s="265"/>
      <c r="T62" s="265"/>
      <c r="U62" s="265"/>
      <c r="V62" s="265"/>
      <c r="W62" s="265"/>
      <c r="X62" s="265"/>
      <c r="Y62" s="265"/>
      <c r="Z62" s="265"/>
      <c r="AA62" s="265"/>
      <c r="AB62" s="265"/>
      <c r="AC62" s="265"/>
      <c r="AD62" s="265"/>
      <c r="AE62" s="265"/>
    </row>
    <row r="63" ht="15.75" customHeight="1">
      <c r="R63" s="265"/>
      <c r="S63" s="265"/>
      <c r="T63" s="265"/>
      <c r="U63" s="265"/>
      <c r="V63" s="265"/>
      <c r="W63" s="265"/>
      <c r="X63" s="265"/>
      <c r="Y63" s="265"/>
      <c r="Z63" s="265"/>
      <c r="AA63" s="265"/>
      <c r="AB63" s="265"/>
      <c r="AC63" s="265"/>
      <c r="AD63" s="265"/>
      <c r="AE63" s="265"/>
    </row>
    <row r="64" ht="15.75" customHeight="1">
      <c r="R64" s="265"/>
      <c r="S64" s="265"/>
      <c r="T64" s="265"/>
      <c r="U64" s="265"/>
      <c r="V64" s="265"/>
      <c r="W64" s="265"/>
      <c r="X64" s="265"/>
      <c r="Y64" s="265"/>
      <c r="Z64" s="265"/>
      <c r="AA64" s="265"/>
      <c r="AB64" s="265"/>
      <c r="AC64" s="265"/>
      <c r="AD64" s="265"/>
      <c r="AE64" s="265"/>
    </row>
    <row r="65" ht="15.75" customHeight="1">
      <c r="R65" s="265"/>
      <c r="S65" s="265"/>
      <c r="T65" s="265"/>
      <c r="U65" s="265"/>
      <c r="V65" s="265"/>
      <c r="W65" s="265"/>
      <c r="X65" s="265"/>
      <c r="Y65" s="265"/>
      <c r="Z65" s="265"/>
      <c r="AA65" s="265"/>
      <c r="AB65" s="265"/>
      <c r="AC65" s="265"/>
      <c r="AD65" s="265"/>
      <c r="AE65" s="265"/>
    </row>
    <row r="66" ht="15.75" customHeight="1">
      <c r="R66" s="265"/>
      <c r="S66" s="265"/>
      <c r="T66" s="265"/>
      <c r="U66" s="265"/>
      <c r="V66" s="265"/>
      <c r="W66" s="265"/>
      <c r="X66" s="265"/>
      <c r="Y66" s="265"/>
      <c r="Z66" s="265"/>
      <c r="AA66" s="265"/>
      <c r="AB66" s="265"/>
      <c r="AC66" s="265"/>
      <c r="AD66" s="265"/>
      <c r="AE66" s="265"/>
    </row>
    <row r="67" ht="15.75" customHeight="1">
      <c r="R67" s="265"/>
      <c r="S67" s="265"/>
      <c r="T67" s="265"/>
      <c r="U67" s="265"/>
      <c r="V67" s="265"/>
      <c r="W67" s="265"/>
      <c r="X67" s="265"/>
      <c r="Y67" s="265"/>
      <c r="Z67" s="265"/>
      <c r="AA67" s="265"/>
      <c r="AB67" s="265"/>
      <c r="AC67" s="265"/>
      <c r="AD67" s="265"/>
      <c r="AE67" s="265"/>
    </row>
    <row r="68" ht="15.75" customHeight="1">
      <c r="R68" s="265"/>
      <c r="S68" s="265"/>
      <c r="T68" s="265"/>
      <c r="U68" s="265"/>
      <c r="V68" s="265"/>
      <c r="W68" s="265"/>
      <c r="X68" s="265"/>
      <c r="Y68" s="265"/>
      <c r="Z68" s="265"/>
      <c r="AA68" s="265"/>
      <c r="AB68" s="265"/>
      <c r="AC68" s="265"/>
      <c r="AD68" s="265"/>
      <c r="AE68" s="265"/>
    </row>
    <row r="69" ht="15.75" customHeight="1">
      <c r="R69" s="265"/>
      <c r="S69" s="265"/>
      <c r="T69" s="265"/>
      <c r="U69" s="265"/>
      <c r="V69" s="265"/>
      <c r="W69" s="265"/>
      <c r="X69" s="265"/>
      <c r="Y69" s="265"/>
      <c r="Z69" s="265"/>
      <c r="AA69" s="265"/>
      <c r="AB69" s="265"/>
      <c r="AC69" s="265"/>
      <c r="AD69" s="265"/>
      <c r="AE69" s="265"/>
    </row>
    <row r="70" ht="15.75" customHeight="1">
      <c r="R70" s="265"/>
      <c r="S70" s="265"/>
      <c r="T70" s="265"/>
      <c r="U70" s="265"/>
      <c r="V70" s="265"/>
      <c r="W70" s="265"/>
      <c r="X70" s="265"/>
      <c r="Y70" s="265"/>
      <c r="Z70" s="265"/>
      <c r="AA70" s="265"/>
      <c r="AB70" s="265"/>
      <c r="AC70" s="265"/>
      <c r="AD70" s="265"/>
      <c r="AE70" s="265"/>
    </row>
    <row r="71" ht="15.75" customHeight="1">
      <c r="R71" s="265"/>
      <c r="S71" s="265"/>
      <c r="T71" s="265"/>
      <c r="U71" s="265"/>
      <c r="V71" s="265"/>
      <c r="W71" s="265"/>
      <c r="X71" s="265"/>
      <c r="Y71" s="265"/>
      <c r="Z71" s="265"/>
      <c r="AA71" s="265"/>
      <c r="AB71" s="265"/>
      <c r="AC71" s="265"/>
      <c r="AD71" s="265"/>
      <c r="AE71" s="265"/>
    </row>
    <row r="72" ht="15.75" customHeight="1">
      <c r="R72" s="265"/>
      <c r="S72" s="265"/>
      <c r="T72" s="265"/>
      <c r="U72" s="265"/>
      <c r="V72" s="265"/>
      <c r="W72" s="265"/>
      <c r="X72" s="265"/>
      <c r="Y72" s="265"/>
      <c r="Z72" s="265"/>
      <c r="AA72" s="265"/>
      <c r="AB72" s="265"/>
      <c r="AC72" s="265"/>
      <c r="AD72" s="265"/>
      <c r="AE72" s="265"/>
    </row>
    <row r="73" ht="15.75" customHeight="1">
      <c r="R73" s="265"/>
      <c r="S73" s="265"/>
      <c r="T73" s="265"/>
      <c r="U73" s="265"/>
      <c r="V73" s="265"/>
      <c r="W73" s="265"/>
      <c r="X73" s="265"/>
      <c r="Y73" s="265"/>
      <c r="Z73" s="265"/>
      <c r="AA73" s="265"/>
      <c r="AB73" s="265"/>
      <c r="AC73" s="265"/>
      <c r="AD73" s="265"/>
      <c r="AE73" s="265"/>
    </row>
    <row r="74" ht="15.75" customHeight="1">
      <c r="R74" s="265"/>
      <c r="S74" s="265"/>
      <c r="T74" s="265"/>
      <c r="U74" s="265"/>
      <c r="V74" s="265"/>
      <c r="W74" s="265"/>
      <c r="X74" s="265"/>
      <c r="Y74" s="265"/>
      <c r="Z74" s="265"/>
      <c r="AA74" s="265"/>
      <c r="AB74" s="265"/>
      <c r="AC74" s="265"/>
      <c r="AD74" s="265"/>
      <c r="AE74" s="265"/>
    </row>
    <row r="75" ht="15.75" customHeight="1">
      <c r="R75" s="265"/>
      <c r="S75" s="265"/>
      <c r="T75" s="265"/>
      <c r="U75" s="265"/>
      <c r="V75" s="265"/>
      <c r="W75" s="265"/>
      <c r="X75" s="265"/>
      <c r="Y75" s="265"/>
      <c r="Z75" s="265"/>
      <c r="AA75" s="265"/>
      <c r="AB75" s="265"/>
      <c r="AC75" s="265"/>
      <c r="AD75" s="265"/>
      <c r="AE75" s="265"/>
    </row>
    <row r="76" ht="15.75" customHeight="1">
      <c r="R76" s="265"/>
      <c r="S76" s="265"/>
      <c r="T76" s="265"/>
      <c r="U76" s="265"/>
      <c r="V76" s="265"/>
      <c r="W76" s="265"/>
      <c r="X76" s="265"/>
      <c r="Y76" s="265"/>
      <c r="Z76" s="265"/>
      <c r="AA76" s="265"/>
      <c r="AB76" s="265"/>
      <c r="AC76" s="265"/>
      <c r="AD76" s="265"/>
      <c r="AE76" s="265"/>
    </row>
    <row r="77" ht="15.75" customHeight="1">
      <c r="R77" s="265"/>
      <c r="S77" s="265"/>
      <c r="T77" s="265"/>
      <c r="U77" s="265"/>
      <c r="V77" s="265"/>
      <c r="W77" s="265"/>
      <c r="X77" s="265"/>
      <c r="Y77" s="265"/>
      <c r="Z77" s="265"/>
      <c r="AA77" s="265"/>
      <c r="AB77" s="265"/>
      <c r="AC77" s="265"/>
      <c r="AD77" s="265"/>
      <c r="AE77" s="265"/>
    </row>
    <row r="78" ht="15.75" customHeight="1"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</row>
    <row r="79" ht="15.75" customHeight="1">
      <c r="R79" s="265"/>
      <c r="S79" s="265"/>
      <c r="T79" s="265"/>
      <c r="U79" s="265"/>
      <c r="V79" s="265"/>
      <c r="W79" s="265"/>
      <c r="X79" s="265"/>
      <c r="Y79" s="265"/>
      <c r="Z79" s="265"/>
      <c r="AA79" s="265"/>
      <c r="AB79" s="265"/>
      <c r="AC79" s="265"/>
      <c r="AD79" s="265"/>
      <c r="AE79" s="265"/>
    </row>
    <row r="80" ht="15.75" customHeight="1">
      <c r="R80" s="265"/>
      <c r="S80" s="265"/>
      <c r="T80" s="265"/>
      <c r="U80" s="265"/>
      <c r="V80" s="265"/>
      <c r="W80" s="265"/>
      <c r="X80" s="265"/>
      <c r="Y80" s="265"/>
      <c r="Z80" s="265"/>
      <c r="AA80" s="265"/>
      <c r="AB80" s="265"/>
      <c r="AC80" s="265"/>
      <c r="AD80" s="265"/>
      <c r="AE80" s="265"/>
    </row>
    <row r="81" ht="15.75" customHeight="1">
      <c r="R81" s="265"/>
      <c r="S81" s="265"/>
      <c r="T81" s="265"/>
      <c r="U81" s="265"/>
      <c r="V81" s="265"/>
      <c r="W81" s="265"/>
      <c r="X81" s="265"/>
      <c r="Y81" s="265"/>
      <c r="Z81" s="265"/>
      <c r="AA81" s="265"/>
      <c r="AB81" s="265"/>
      <c r="AC81" s="265"/>
      <c r="AD81" s="265"/>
      <c r="AE81" s="265"/>
    </row>
    <row r="82" ht="15.75" customHeight="1">
      <c r="R82" s="265"/>
      <c r="S82" s="265"/>
      <c r="T82" s="265"/>
      <c r="U82" s="265"/>
      <c r="V82" s="265"/>
      <c r="W82" s="265"/>
      <c r="X82" s="265"/>
      <c r="Y82" s="265"/>
      <c r="Z82" s="265"/>
      <c r="AA82" s="265"/>
      <c r="AB82" s="265"/>
      <c r="AC82" s="265"/>
      <c r="AD82" s="265"/>
      <c r="AE82" s="265"/>
    </row>
    <row r="83" ht="15.75" customHeight="1">
      <c r="R83" s="265"/>
      <c r="S83" s="265"/>
      <c r="T83" s="265"/>
      <c r="U83" s="265"/>
      <c r="V83" s="265"/>
      <c r="W83" s="265"/>
      <c r="X83" s="265"/>
      <c r="Y83" s="265"/>
      <c r="Z83" s="265"/>
      <c r="AA83" s="265"/>
      <c r="AB83" s="265"/>
      <c r="AC83" s="265"/>
      <c r="AD83" s="265"/>
      <c r="AE83" s="265"/>
    </row>
    <row r="84" ht="15.75" customHeight="1">
      <c r="R84" s="265"/>
      <c r="S84" s="265"/>
      <c r="T84" s="265"/>
      <c r="U84" s="265"/>
      <c r="V84" s="265"/>
      <c r="W84" s="265"/>
      <c r="X84" s="265"/>
      <c r="Y84" s="265"/>
      <c r="Z84" s="265"/>
      <c r="AA84" s="265"/>
      <c r="AB84" s="265"/>
      <c r="AC84" s="265"/>
      <c r="AD84" s="265"/>
      <c r="AE84" s="265"/>
    </row>
    <row r="85" ht="15.75" customHeight="1">
      <c r="R85" s="265"/>
      <c r="S85" s="265"/>
      <c r="T85" s="265"/>
      <c r="U85" s="265"/>
      <c r="V85" s="265"/>
      <c r="W85" s="265"/>
      <c r="X85" s="265"/>
      <c r="Y85" s="265"/>
      <c r="Z85" s="265"/>
      <c r="AA85" s="265"/>
      <c r="AB85" s="265"/>
      <c r="AC85" s="265"/>
      <c r="AD85" s="265"/>
      <c r="AE85" s="265"/>
    </row>
    <row r="86" ht="15.75" customHeight="1">
      <c r="R86" s="265"/>
      <c r="S86" s="265"/>
      <c r="T86" s="265"/>
      <c r="U86" s="265"/>
      <c r="V86" s="265"/>
      <c r="W86" s="265"/>
      <c r="X86" s="265"/>
      <c r="Y86" s="265"/>
      <c r="Z86" s="265"/>
      <c r="AA86" s="265"/>
      <c r="AB86" s="265"/>
      <c r="AC86" s="265"/>
      <c r="AD86" s="265"/>
      <c r="AE86" s="265"/>
    </row>
    <row r="87" ht="15.75" customHeight="1">
      <c r="R87" s="265"/>
      <c r="S87" s="265"/>
      <c r="T87" s="265"/>
      <c r="U87" s="265"/>
      <c r="V87" s="265"/>
      <c r="W87" s="265"/>
      <c r="X87" s="265"/>
      <c r="Y87" s="265"/>
      <c r="Z87" s="265"/>
      <c r="AA87" s="265"/>
      <c r="AB87" s="265"/>
      <c r="AC87" s="265"/>
      <c r="AD87" s="265"/>
      <c r="AE87" s="265"/>
    </row>
    <row r="88" ht="15.75" customHeight="1">
      <c r="R88" s="265"/>
      <c r="S88" s="265"/>
      <c r="T88" s="265"/>
      <c r="U88" s="265"/>
      <c r="V88" s="265"/>
      <c r="W88" s="265"/>
      <c r="X88" s="265"/>
      <c r="Y88" s="265"/>
      <c r="Z88" s="265"/>
      <c r="AA88" s="265"/>
      <c r="AB88" s="265"/>
      <c r="AC88" s="265"/>
      <c r="AD88" s="265"/>
      <c r="AE88" s="265"/>
    </row>
    <row r="89" ht="15.75" customHeight="1">
      <c r="R89" s="265"/>
      <c r="S89" s="265"/>
      <c r="T89" s="265"/>
      <c r="U89" s="265"/>
      <c r="V89" s="265"/>
      <c r="W89" s="265"/>
      <c r="X89" s="265"/>
      <c r="Y89" s="265"/>
      <c r="Z89" s="265"/>
      <c r="AA89" s="265"/>
      <c r="AB89" s="265"/>
      <c r="AC89" s="265"/>
      <c r="AD89" s="265"/>
      <c r="AE89" s="265"/>
    </row>
    <row r="90" ht="15.75" customHeight="1">
      <c r="R90" s="265"/>
      <c r="S90" s="265"/>
      <c r="T90" s="265"/>
      <c r="U90" s="265"/>
      <c r="V90" s="265"/>
      <c r="W90" s="265"/>
      <c r="X90" s="265"/>
      <c r="Y90" s="265"/>
      <c r="Z90" s="265"/>
      <c r="AA90" s="265"/>
      <c r="AB90" s="265"/>
      <c r="AC90" s="265"/>
      <c r="AD90" s="265"/>
      <c r="AE90" s="265"/>
    </row>
    <row r="91" ht="23.25" customHeight="1">
      <c r="R91" s="265"/>
      <c r="S91" s="265"/>
      <c r="T91" s="265"/>
      <c r="U91" s="265"/>
      <c r="V91" s="265"/>
      <c r="W91" s="265"/>
      <c r="X91" s="265"/>
      <c r="Y91" s="265"/>
      <c r="Z91" s="265"/>
      <c r="AA91" s="265"/>
      <c r="AB91" s="265"/>
      <c r="AC91" s="265"/>
      <c r="AD91" s="265"/>
      <c r="AE91" s="265"/>
    </row>
    <row r="92" ht="23.25" customHeight="1">
      <c r="R92" s="265"/>
      <c r="S92" s="265"/>
      <c r="T92" s="265"/>
      <c r="U92" s="265"/>
      <c r="V92" s="265"/>
      <c r="W92" s="265"/>
      <c r="X92" s="265"/>
      <c r="Y92" s="265"/>
      <c r="Z92" s="265"/>
      <c r="AA92" s="265"/>
      <c r="AB92" s="265"/>
      <c r="AC92" s="265"/>
      <c r="AD92" s="265"/>
      <c r="AE92" s="265"/>
    </row>
    <row r="93" ht="24.0" customHeight="1">
      <c r="R93" s="265"/>
      <c r="S93" s="265"/>
      <c r="T93" s="265"/>
      <c r="U93" s="265"/>
      <c r="V93" s="265"/>
      <c r="W93" s="265"/>
      <c r="X93" s="265"/>
      <c r="Y93" s="265"/>
      <c r="Z93" s="265"/>
      <c r="AA93" s="265"/>
      <c r="AB93" s="265"/>
      <c r="AC93" s="265"/>
      <c r="AD93" s="265"/>
      <c r="AE93" s="265"/>
    </row>
    <row r="94" ht="15.75" customHeight="1">
      <c r="R94" s="265"/>
      <c r="S94" s="265"/>
      <c r="T94" s="265"/>
      <c r="U94" s="265"/>
      <c r="V94" s="265"/>
      <c r="W94" s="265"/>
      <c r="X94" s="265"/>
      <c r="Y94" s="265"/>
      <c r="Z94" s="265"/>
      <c r="AA94" s="265"/>
      <c r="AB94" s="265"/>
      <c r="AC94" s="265"/>
      <c r="AD94" s="265"/>
      <c r="AE94" s="265"/>
    </row>
    <row r="95" ht="15.75" customHeight="1">
      <c r="R95" s="265"/>
      <c r="S95" s="265"/>
      <c r="T95" s="265"/>
      <c r="U95" s="265"/>
      <c r="V95" s="265"/>
      <c r="W95" s="265"/>
      <c r="X95" s="265"/>
      <c r="Y95" s="265"/>
      <c r="Z95" s="265"/>
      <c r="AA95" s="265"/>
      <c r="AB95" s="265"/>
      <c r="AC95" s="265"/>
      <c r="AD95" s="265"/>
      <c r="AE95" s="265"/>
    </row>
    <row r="96" ht="15.75" customHeight="1">
      <c r="R96" s="265"/>
      <c r="S96" s="265"/>
      <c r="T96" s="265"/>
      <c r="U96" s="265"/>
      <c r="V96" s="265"/>
      <c r="W96" s="265"/>
      <c r="X96" s="265"/>
      <c r="Y96" s="265"/>
      <c r="Z96" s="265"/>
      <c r="AA96" s="265"/>
      <c r="AB96" s="265"/>
      <c r="AC96" s="265"/>
      <c r="AD96" s="265"/>
      <c r="AE96" s="265"/>
    </row>
    <row r="97" ht="15.75" customHeight="1">
      <c r="R97" s="265"/>
      <c r="S97" s="265"/>
      <c r="T97" s="265"/>
      <c r="U97" s="265"/>
      <c r="V97" s="265"/>
      <c r="W97" s="265"/>
      <c r="X97" s="265"/>
      <c r="Y97" s="265"/>
      <c r="Z97" s="265"/>
      <c r="AA97" s="265"/>
      <c r="AB97" s="265"/>
      <c r="AC97" s="265"/>
      <c r="AD97" s="265"/>
      <c r="AE97" s="265"/>
    </row>
    <row r="98" ht="15.75" customHeight="1">
      <c r="Y98" s="264" t="s">
        <v>13</v>
      </c>
      <c r="Z98" s="264" t="s">
        <v>13</v>
      </c>
      <c r="AA98" s="264" t="s">
        <v>13</v>
      </c>
      <c r="AB98" s="264" t="s">
        <v>13</v>
      </c>
      <c r="AC98" s="264" t="s">
        <v>13</v>
      </c>
      <c r="AD98" s="264" t="s">
        <v>13</v>
      </c>
    </row>
    <row r="99" ht="15.75" customHeight="1">
      <c r="Y99" s="264" t="s">
        <v>13</v>
      </c>
      <c r="Z99" s="264" t="s">
        <v>13</v>
      </c>
      <c r="AA99" s="264" t="s">
        <v>13</v>
      </c>
      <c r="AB99" s="264" t="s">
        <v>13</v>
      </c>
      <c r="AC99" s="264" t="s">
        <v>13</v>
      </c>
      <c r="AD99" s="264" t="s">
        <v>13</v>
      </c>
    </row>
    <row r="100" ht="15.75" customHeight="1">
      <c r="Y100" s="264" t="s">
        <v>13</v>
      </c>
      <c r="Z100" s="264" t="s">
        <v>13</v>
      </c>
      <c r="AA100" s="264" t="s">
        <v>13</v>
      </c>
      <c r="AB100" s="264" t="s">
        <v>13</v>
      </c>
      <c r="AC100" s="264" t="s">
        <v>13</v>
      </c>
      <c r="AD100" s="264" t="s">
        <v>13</v>
      </c>
    </row>
    <row r="101" ht="15.75" customHeight="1">
      <c r="Y101" s="264" t="s">
        <v>13</v>
      </c>
      <c r="Z101" s="264" t="s">
        <v>13</v>
      </c>
      <c r="AA101" s="264" t="s">
        <v>13</v>
      </c>
      <c r="AB101" s="264" t="s">
        <v>13</v>
      </c>
      <c r="AC101" s="264" t="s">
        <v>13</v>
      </c>
      <c r="AD101" s="264" t="s">
        <v>13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2">
    <mergeCell ref="K21:L21"/>
    <mergeCell ref="K22:L22"/>
    <mergeCell ref="K23:L23"/>
    <mergeCell ref="K15:L15"/>
    <mergeCell ref="K16:L16"/>
    <mergeCell ref="K17:L17"/>
    <mergeCell ref="K18:L18"/>
    <mergeCell ref="K19:L19"/>
    <mergeCell ref="K20:L20"/>
    <mergeCell ref="R21:S21"/>
    <mergeCell ref="F21:H21"/>
    <mergeCell ref="F22:H22"/>
    <mergeCell ref="F23:H23"/>
    <mergeCell ref="F24:H24"/>
    <mergeCell ref="F14:H14"/>
    <mergeCell ref="F25:H25"/>
    <mergeCell ref="F26:H26"/>
    <mergeCell ref="F15:H15"/>
    <mergeCell ref="F16:H16"/>
    <mergeCell ref="F17:H17"/>
    <mergeCell ref="F18:H18"/>
    <mergeCell ref="F4:H4"/>
    <mergeCell ref="F5:H5"/>
    <mergeCell ref="B6:C6"/>
    <mergeCell ref="F6:H6"/>
    <mergeCell ref="F7:H7"/>
    <mergeCell ref="F8:H8"/>
    <mergeCell ref="F9:H9"/>
    <mergeCell ref="B8:C8"/>
    <mergeCell ref="B9:C9"/>
    <mergeCell ref="K9:L9"/>
    <mergeCell ref="K10:L10"/>
    <mergeCell ref="O10:P10"/>
    <mergeCell ref="R10:S10"/>
    <mergeCell ref="R11:S11"/>
    <mergeCell ref="F10:H10"/>
    <mergeCell ref="F11:H11"/>
    <mergeCell ref="F12:H12"/>
    <mergeCell ref="K12:L12"/>
    <mergeCell ref="F13:H13"/>
    <mergeCell ref="K13:L13"/>
    <mergeCell ref="K14:L14"/>
    <mergeCell ref="R22:S22"/>
    <mergeCell ref="R23:S23"/>
    <mergeCell ref="R24:S24"/>
    <mergeCell ref="R25:S25"/>
    <mergeCell ref="R26:S26"/>
    <mergeCell ref="B23:C23"/>
    <mergeCell ref="B24:C24"/>
    <mergeCell ref="K24:L24"/>
    <mergeCell ref="K25:L25"/>
    <mergeCell ref="K26:L26"/>
    <mergeCell ref="B25:C25"/>
    <mergeCell ref="B26:C26"/>
    <mergeCell ref="F19:H19"/>
    <mergeCell ref="F20:H20"/>
    <mergeCell ref="B30:C30"/>
    <mergeCell ref="B31:C31"/>
    <mergeCell ref="B32:C32"/>
    <mergeCell ref="B33:C33"/>
    <mergeCell ref="B34:C34"/>
    <mergeCell ref="B35:C35"/>
    <mergeCell ref="B36:C36"/>
    <mergeCell ref="B44:C44"/>
    <mergeCell ref="B45:C45"/>
    <mergeCell ref="B37:C37"/>
    <mergeCell ref="B38:C38"/>
    <mergeCell ref="B39:C39"/>
    <mergeCell ref="B40:C40"/>
    <mergeCell ref="B41:C41"/>
    <mergeCell ref="B42:C42"/>
    <mergeCell ref="B43:C43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B7:C7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7:C27"/>
    <mergeCell ref="F27:H27"/>
    <mergeCell ref="K27:L27"/>
    <mergeCell ref="B28:C28"/>
    <mergeCell ref="F28:H28"/>
    <mergeCell ref="B29:C29"/>
    <mergeCell ref="K30:L30"/>
    <mergeCell ref="F29:H29"/>
    <mergeCell ref="F30:H30"/>
    <mergeCell ref="F31:H31"/>
    <mergeCell ref="F32:H32"/>
    <mergeCell ref="F33:H33"/>
    <mergeCell ref="F34:H34"/>
    <mergeCell ref="F35:H35"/>
    <mergeCell ref="K28:L28"/>
    <mergeCell ref="K29:L29"/>
    <mergeCell ref="K31:L31"/>
    <mergeCell ref="K32:L32"/>
    <mergeCell ref="K33:L33"/>
    <mergeCell ref="K34:L34"/>
    <mergeCell ref="K35:L35"/>
    <mergeCell ref="F43:H43"/>
    <mergeCell ref="F44:H44"/>
    <mergeCell ref="F45:H45"/>
    <mergeCell ref="K45:L45"/>
    <mergeCell ref="F36:H36"/>
    <mergeCell ref="F37:H37"/>
    <mergeCell ref="F38:H38"/>
    <mergeCell ref="F39:H39"/>
    <mergeCell ref="F40:H40"/>
    <mergeCell ref="F41:H41"/>
    <mergeCell ref="F42:H42"/>
    <mergeCell ref="AS34:AT34"/>
    <mergeCell ref="AS35:AT35"/>
    <mergeCell ref="AN23:AP23"/>
    <mergeCell ref="AS23:AT23"/>
    <mergeCell ref="AN24:AP24"/>
    <mergeCell ref="AS24:AT24"/>
    <mergeCell ref="AN25:AP25"/>
    <mergeCell ref="AS25:AT25"/>
    <mergeCell ref="AN26:AP26"/>
    <mergeCell ref="AN34:AP34"/>
    <mergeCell ref="AN35:AP35"/>
    <mergeCell ref="AN27:AP27"/>
    <mergeCell ref="AN28:AP28"/>
    <mergeCell ref="AN29:AP29"/>
    <mergeCell ref="AN30:AP30"/>
    <mergeCell ref="AN31:AP31"/>
    <mergeCell ref="AN32:AP32"/>
    <mergeCell ref="AN33:AP33"/>
    <mergeCell ref="AN12:AP12"/>
    <mergeCell ref="AN13:AP13"/>
    <mergeCell ref="AS13:AT13"/>
    <mergeCell ref="AN14:AP14"/>
    <mergeCell ref="AS14:AT14"/>
    <mergeCell ref="AN15:AP15"/>
    <mergeCell ref="AN16:AP16"/>
    <mergeCell ref="AN17:AP17"/>
    <mergeCell ref="AS17:AT17"/>
    <mergeCell ref="AN18:AP18"/>
    <mergeCell ref="AS18:AT18"/>
    <mergeCell ref="AN19:AP19"/>
    <mergeCell ref="AS19:AT19"/>
    <mergeCell ref="AS20:AT20"/>
    <mergeCell ref="AS26:AT26"/>
    <mergeCell ref="AS27:AT27"/>
    <mergeCell ref="AS28:AT28"/>
    <mergeCell ref="AS29:AT29"/>
    <mergeCell ref="AS30:AT30"/>
    <mergeCell ref="AS31:AT31"/>
    <mergeCell ref="AS32:AT32"/>
    <mergeCell ref="AS33:AT33"/>
    <mergeCell ref="AS40:AT40"/>
    <mergeCell ref="AS41:AT41"/>
    <mergeCell ref="K2:L2"/>
    <mergeCell ref="M2:P2"/>
    <mergeCell ref="AB2:AC2"/>
    <mergeCell ref="AD2:AG2"/>
    <mergeCell ref="AJ2:AQ2"/>
    <mergeCell ref="AS2:AT2"/>
    <mergeCell ref="AU2:AX2"/>
    <mergeCell ref="AJ4:AK4"/>
    <mergeCell ref="AN4:AP4"/>
    <mergeCell ref="AU4:AV4"/>
    <mergeCell ref="K5:L5"/>
    <mergeCell ref="M5:N5"/>
    <mergeCell ref="K6:L7"/>
    <mergeCell ref="M6:N7"/>
    <mergeCell ref="O6:P7"/>
    <mergeCell ref="R8:S8"/>
    <mergeCell ref="W8:Y8"/>
    <mergeCell ref="W5:Y5"/>
    <mergeCell ref="AB5:AC5"/>
    <mergeCell ref="AF5:AG5"/>
    <mergeCell ref="AJ5:AK5"/>
    <mergeCell ref="AN5:AP5"/>
    <mergeCell ref="AS5:AT5"/>
    <mergeCell ref="AU5:AV5"/>
    <mergeCell ref="AW5:AX5"/>
    <mergeCell ref="B2:I2"/>
    <mergeCell ref="B4:C4"/>
    <mergeCell ref="M4:N4"/>
    <mergeCell ref="W4:Y4"/>
    <mergeCell ref="AD4:AE4"/>
    <mergeCell ref="B5:C5"/>
    <mergeCell ref="O5:P5"/>
    <mergeCell ref="AD5:AE5"/>
    <mergeCell ref="AN7:AP7"/>
    <mergeCell ref="AN8:AP8"/>
    <mergeCell ref="AJ6:AK6"/>
    <mergeCell ref="AN6:AP6"/>
    <mergeCell ref="AS6:AT7"/>
    <mergeCell ref="AU6:AV7"/>
    <mergeCell ref="AW6:AX7"/>
    <mergeCell ref="AJ7:AK7"/>
    <mergeCell ref="AJ8:AK8"/>
    <mergeCell ref="AJ9:AK9"/>
    <mergeCell ref="AJ10:AK10"/>
    <mergeCell ref="AJ11:AK11"/>
    <mergeCell ref="AJ12:AK12"/>
    <mergeCell ref="AJ13:AK13"/>
    <mergeCell ref="AJ14:AK14"/>
    <mergeCell ref="AJ15:AK15"/>
    <mergeCell ref="AJ16:AK16"/>
    <mergeCell ref="AJ17:AK17"/>
    <mergeCell ref="AJ18:AK18"/>
    <mergeCell ref="AJ19:AK19"/>
    <mergeCell ref="AJ20:AK20"/>
    <mergeCell ref="AJ21:AK21"/>
    <mergeCell ref="AJ22:AK22"/>
    <mergeCell ref="AJ23:AK23"/>
    <mergeCell ref="AJ24:AK24"/>
    <mergeCell ref="AJ25:AK25"/>
    <mergeCell ref="AJ26:AK26"/>
    <mergeCell ref="AJ27:AK27"/>
    <mergeCell ref="AJ28:AK28"/>
    <mergeCell ref="AJ29:AK29"/>
    <mergeCell ref="AJ30:AK30"/>
    <mergeCell ref="AJ31:AK31"/>
    <mergeCell ref="AJ32:AK32"/>
    <mergeCell ref="AJ33:AK33"/>
    <mergeCell ref="AJ34:AK34"/>
    <mergeCell ref="AJ35:AK35"/>
    <mergeCell ref="AJ36:AK36"/>
    <mergeCell ref="AJ44:AK44"/>
    <mergeCell ref="AJ45:AK45"/>
    <mergeCell ref="AJ37:AK37"/>
    <mergeCell ref="AJ38:AK38"/>
    <mergeCell ref="AJ39:AK39"/>
    <mergeCell ref="AJ40:AK40"/>
    <mergeCell ref="AJ41:AK41"/>
    <mergeCell ref="AJ42:AK42"/>
    <mergeCell ref="AJ43:AK43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7:S27"/>
    <mergeCell ref="R28:S28"/>
    <mergeCell ref="R29:S29"/>
    <mergeCell ref="R30:S30"/>
    <mergeCell ref="R31:S31"/>
    <mergeCell ref="R39:S39"/>
    <mergeCell ref="R40:S40"/>
    <mergeCell ref="R41:S41"/>
    <mergeCell ref="R42:S42"/>
    <mergeCell ref="R43:S43"/>
    <mergeCell ref="R44:S44"/>
    <mergeCell ref="R45:S45"/>
    <mergeCell ref="R32:S32"/>
    <mergeCell ref="R33:S33"/>
    <mergeCell ref="R34:S34"/>
    <mergeCell ref="R35:S35"/>
    <mergeCell ref="R36:S36"/>
    <mergeCell ref="R37:S37"/>
    <mergeCell ref="R38:S38"/>
    <mergeCell ref="R4:S4"/>
    <mergeCell ref="R5:S5"/>
    <mergeCell ref="R6:S6"/>
    <mergeCell ref="AB6:AC7"/>
    <mergeCell ref="AD6:AE7"/>
    <mergeCell ref="AF6:AG7"/>
    <mergeCell ref="R7:S7"/>
    <mergeCell ref="W6:Y6"/>
    <mergeCell ref="W7:Y7"/>
    <mergeCell ref="R9:S9"/>
    <mergeCell ref="W9:Y9"/>
    <mergeCell ref="AB9:AC9"/>
    <mergeCell ref="AD9:AE9"/>
    <mergeCell ref="W10:Y10"/>
    <mergeCell ref="AN9:AP9"/>
    <mergeCell ref="AS9:AT9"/>
    <mergeCell ref="AN10:AP10"/>
    <mergeCell ref="AS10:AT10"/>
    <mergeCell ref="AW10:AX10"/>
    <mergeCell ref="AN11:AP11"/>
    <mergeCell ref="AS12:AT12"/>
    <mergeCell ref="W11:Y11"/>
    <mergeCell ref="AB11:AC11"/>
    <mergeCell ref="W12:Y12"/>
    <mergeCell ref="AB12:AC12"/>
    <mergeCell ref="AF12:AG12"/>
    <mergeCell ref="W13:Y13"/>
    <mergeCell ref="AB14:AC14"/>
    <mergeCell ref="AS15:AT15"/>
    <mergeCell ref="AS16:AT16"/>
    <mergeCell ref="AN20:AP20"/>
    <mergeCell ref="AN21:AP21"/>
    <mergeCell ref="AN22:AP22"/>
    <mergeCell ref="AS21:AT21"/>
    <mergeCell ref="AS22:AT22"/>
    <mergeCell ref="AB37:AC37"/>
    <mergeCell ref="AB38:AC38"/>
    <mergeCell ref="AB30:AC30"/>
    <mergeCell ref="AB31:AC31"/>
    <mergeCell ref="AB32:AC32"/>
    <mergeCell ref="AB33:AC33"/>
    <mergeCell ref="AB34:AC34"/>
    <mergeCell ref="AB35:AC35"/>
    <mergeCell ref="AB36:AC36"/>
    <mergeCell ref="AN36:AP36"/>
    <mergeCell ref="AS36:AT36"/>
    <mergeCell ref="AN37:AP37"/>
    <mergeCell ref="AS37:AT37"/>
    <mergeCell ref="AN38:AP38"/>
    <mergeCell ref="AS38:AT38"/>
    <mergeCell ref="AS39:AT39"/>
    <mergeCell ref="AS43:AT43"/>
    <mergeCell ref="AS44:AT44"/>
    <mergeCell ref="AN45:AP45"/>
    <mergeCell ref="AS45:AT45"/>
    <mergeCell ref="AN39:AP39"/>
    <mergeCell ref="AN40:AP40"/>
    <mergeCell ref="AN41:AP41"/>
    <mergeCell ref="AN42:AP42"/>
    <mergeCell ref="AS42:AT42"/>
    <mergeCell ref="AN43:AP43"/>
    <mergeCell ref="AN44:AP44"/>
    <mergeCell ref="AB40:AC40"/>
    <mergeCell ref="AB41:AC41"/>
    <mergeCell ref="W36:Y36"/>
    <mergeCell ref="W37:Y37"/>
    <mergeCell ref="W38:Y38"/>
    <mergeCell ref="W39:Y39"/>
    <mergeCell ref="AB39:AC39"/>
    <mergeCell ref="W40:Y40"/>
    <mergeCell ref="W41:Y41"/>
    <mergeCell ref="AB17:AC17"/>
    <mergeCell ref="AB18:AC18"/>
    <mergeCell ref="W14:Y14"/>
    <mergeCell ref="W15:Y15"/>
    <mergeCell ref="AB15:AC15"/>
    <mergeCell ref="W16:Y16"/>
    <mergeCell ref="AB16:AC16"/>
    <mergeCell ref="W17:Y17"/>
    <mergeCell ref="W18:Y18"/>
    <mergeCell ref="W19:Y19"/>
    <mergeCell ref="AB19:AC19"/>
    <mergeCell ref="W20:Y20"/>
    <mergeCell ref="AB20:AC20"/>
    <mergeCell ref="W21:Y21"/>
    <mergeCell ref="AB21:AC21"/>
    <mergeCell ref="AB22:AC22"/>
    <mergeCell ref="W22:Y22"/>
    <mergeCell ref="W23:Y23"/>
    <mergeCell ref="W24:Y24"/>
    <mergeCell ref="W25:Y25"/>
    <mergeCell ref="W26:Y26"/>
    <mergeCell ref="W27:Y27"/>
    <mergeCell ref="W28:Y28"/>
    <mergeCell ref="AB23:AC23"/>
    <mergeCell ref="AB24:AC24"/>
    <mergeCell ref="AB25:AC25"/>
    <mergeCell ref="AB26:AC26"/>
    <mergeCell ref="AB27:AC27"/>
    <mergeCell ref="AB28:AC28"/>
    <mergeCell ref="AB29:AC29"/>
    <mergeCell ref="W29:Y29"/>
    <mergeCell ref="W30:Y30"/>
    <mergeCell ref="W31:Y31"/>
    <mergeCell ref="W32:Y32"/>
    <mergeCell ref="W33:Y33"/>
    <mergeCell ref="W34:Y34"/>
    <mergeCell ref="W35:Y35"/>
    <mergeCell ref="W42:Y42"/>
    <mergeCell ref="AB42:AC42"/>
    <mergeCell ref="W43:Y43"/>
    <mergeCell ref="AB43:AC43"/>
    <mergeCell ref="W44:Y44"/>
    <mergeCell ref="AB44:AC44"/>
    <mergeCell ref="W45:Y45"/>
    <mergeCell ref="AB45:AC45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0.86"/>
    <col customWidth="1" min="3" max="5" width="8.71"/>
    <col customWidth="1" min="6" max="6" width="10.0"/>
    <col customWidth="1" min="7" max="7" width="5.71"/>
    <col customWidth="1" min="8" max="8" width="13.71"/>
    <col customWidth="1" min="9" max="13" width="5.71"/>
    <col customWidth="1" min="14" max="14" width="4.71"/>
    <col customWidth="1" min="15" max="17" width="8.71"/>
    <col customWidth="1" min="18" max="18" width="11.0"/>
    <col customWidth="1" min="19" max="19" width="10.57"/>
    <col customWidth="1" min="20" max="25" width="8.71"/>
    <col customWidth="1" min="26" max="30" width="5.71"/>
    <col customWidth="1" min="31" max="37" width="8.71"/>
    <col customWidth="1" min="38" max="38" width="12.43"/>
    <col customWidth="1" min="39" max="40" width="8.71"/>
    <col customWidth="1" min="41" max="41" width="5.29"/>
    <col customWidth="1" min="42" max="43" width="5.71"/>
    <col customWidth="1" min="44" max="44" width="5.29"/>
    <col customWidth="1" min="45" max="45" width="5.71"/>
    <col customWidth="1" min="46" max="46" width="4.71"/>
  </cols>
  <sheetData>
    <row r="2">
      <c r="A2" s="71" t="s">
        <v>43</v>
      </c>
      <c r="B2" s="266"/>
      <c r="C2" s="266"/>
      <c r="D2" s="267"/>
      <c r="E2" s="268" t="s">
        <v>44</v>
      </c>
      <c r="F2" s="5"/>
      <c r="G2" s="266"/>
      <c r="H2" s="266"/>
      <c r="I2" s="266"/>
      <c r="J2" s="120">
        <v>46073.0</v>
      </c>
      <c r="K2" s="5"/>
      <c r="L2" s="5"/>
      <c r="M2" s="5"/>
      <c r="N2" s="6"/>
      <c r="R2" s="71" t="s">
        <v>45</v>
      </c>
      <c r="S2" s="266"/>
      <c r="T2" s="266"/>
      <c r="U2" s="267"/>
      <c r="V2" s="268" t="s">
        <v>44</v>
      </c>
      <c r="W2" s="5"/>
      <c r="X2" s="266"/>
      <c r="Y2" s="266"/>
      <c r="Z2" s="266"/>
      <c r="AA2" s="120">
        <v>46073.0</v>
      </c>
      <c r="AB2" s="5"/>
      <c r="AC2" s="5"/>
      <c r="AD2" s="5"/>
      <c r="AE2" s="6"/>
    </row>
    <row r="3">
      <c r="A3" s="269" t="s">
        <v>2</v>
      </c>
      <c r="B3" s="270" t="s">
        <v>3</v>
      </c>
      <c r="C3" s="270" t="s">
        <v>4</v>
      </c>
      <c r="D3" s="270" t="s">
        <v>5</v>
      </c>
      <c r="E3" s="270" t="s">
        <v>6</v>
      </c>
      <c r="F3" s="271" t="s">
        <v>7</v>
      </c>
      <c r="G3" s="272"/>
      <c r="H3" s="273" t="s">
        <v>2</v>
      </c>
      <c r="I3" s="274"/>
      <c r="J3" s="274"/>
      <c r="K3" s="274"/>
      <c r="L3" s="274"/>
      <c r="M3" s="274"/>
      <c r="N3" s="275" t="s">
        <v>3</v>
      </c>
      <c r="R3" s="269" t="s">
        <v>2</v>
      </c>
      <c r="S3" s="270" t="s">
        <v>3</v>
      </c>
      <c r="T3" s="270" t="s">
        <v>4</v>
      </c>
      <c r="U3" s="270" t="s">
        <v>5</v>
      </c>
      <c r="V3" s="270" t="s">
        <v>6</v>
      </c>
      <c r="W3" s="271" t="s">
        <v>7</v>
      </c>
      <c r="X3" s="272"/>
      <c r="Y3" s="273" t="s">
        <v>2</v>
      </c>
      <c r="Z3" s="274"/>
      <c r="AA3" s="274"/>
      <c r="AB3" s="274"/>
      <c r="AC3" s="274"/>
      <c r="AD3" s="274"/>
      <c r="AE3" s="275" t="s">
        <v>3</v>
      </c>
    </row>
    <row r="4">
      <c r="A4" s="32"/>
      <c r="B4" s="32"/>
      <c r="C4" s="32"/>
      <c r="D4" s="32"/>
      <c r="E4" s="32"/>
      <c r="F4" s="32"/>
      <c r="H4" s="31"/>
      <c r="I4" s="31"/>
      <c r="J4" s="31"/>
      <c r="K4" s="31"/>
      <c r="L4" s="31"/>
      <c r="M4" s="31"/>
      <c r="N4" s="276">
        <f t="shared" ref="N4:N32" si="1">SUM(I4:M4)</f>
        <v>0</v>
      </c>
      <c r="R4" s="32"/>
      <c r="S4" s="32"/>
      <c r="T4" s="32"/>
      <c r="U4" s="32"/>
      <c r="V4" s="32"/>
      <c r="W4" s="32"/>
      <c r="Y4" s="31"/>
      <c r="Z4" s="31"/>
      <c r="AA4" s="31"/>
      <c r="AB4" s="31"/>
      <c r="AC4" s="31"/>
      <c r="AD4" s="31"/>
      <c r="AE4" s="277">
        <f t="shared" ref="AE4:AE32" si="2">SUM(Z4:AD4)</f>
        <v>0</v>
      </c>
      <c r="AI4" s="11" t="s">
        <v>1</v>
      </c>
      <c r="AJ4" s="12"/>
      <c r="AK4" s="13"/>
    </row>
    <row r="5">
      <c r="A5" s="278"/>
      <c r="B5" s="32"/>
      <c r="C5" s="32"/>
      <c r="D5" s="32"/>
      <c r="E5" s="32"/>
      <c r="F5" s="32"/>
      <c r="H5" s="32"/>
      <c r="I5" s="31"/>
      <c r="J5" s="31"/>
      <c r="K5" s="31"/>
      <c r="L5" s="31"/>
      <c r="M5" s="31"/>
      <c r="N5" s="276">
        <f t="shared" si="1"/>
        <v>0</v>
      </c>
      <c r="R5" s="31"/>
      <c r="S5" s="31"/>
      <c r="T5" s="32"/>
      <c r="U5" s="32"/>
      <c r="V5" s="32"/>
      <c r="W5" s="32"/>
      <c r="Y5" s="32"/>
      <c r="Z5" s="31"/>
      <c r="AA5" s="31"/>
      <c r="AB5" s="31"/>
      <c r="AC5" s="31"/>
      <c r="AD5" s="31"/>
      <c r="AE5" s="276">
        <f t="shared" si="2"/>
        <v>0</v>
      </c>
      <c r="AI5" s="28"/>
      <c r="AK5" s="29"/>
    </row>
    <row r="6">
      <c r="A6" s="32"/>
      <c r="B6" s="32"/>
      <c r="C6" s="32"/>
      <c r="D6" s="32"/>
      <c r="E6" s="32"/>
      <c r="F6" s="32"/>
      <c r="H6" s="32"/>
      <c r="I6" s="31"/>
      <c r="J6" s="31"/>
      <c r="K6" s="31"/>
      <c r="L6" s="31"/>
      <c r="M6" s="31"/>
      <c r="N6" s="276">
        <f t="shared" si="1"/>
        <v>0</v>
      </c>
      <c r="R6" s="32"/>
      <c r="S6" s="32"/>
      <c r="T6" s="32"/>
      <c r="U6" s="32"/>
      <c r="V6" s="32"/>
      <c r="W6" s="32"/>
      <c r="Y6" s="32"/>
      <c r="Z6" s="31"/>
      <c r="AA6" s="31"/>
      <c r="AB6" s="31"/>
      <c r="AC6" s="31"/>
      <c r="AD6" s="31"/>
      <c r="AE6" s="276">
        <f t="shared" si="2"/>
        <v>0</v>
      </c>
      <c r="AI6" s="63"/>
      <c r="AJ6" s="64"/>
      <c r="AK6" s="65"/>
    </row>
    <row r="7">
      <c r="A7" s="32"/>
      <c r="B7" s="32"/>
      <c r="C7" s="32"/>
      <c r="D7" s="32"/>
      <c r="E7" s="32"/>
      <c r="F7" s="32"/>
      <c r="H7" s="32"/>
      <c r="I7" s="31"/>
      <c r="J7" s="31"/>
      <c r="K7" s="31"/>
      <c r="L7" s="31"/>
      <c r="M7" s="31"/>
      <c r="N7" s="276">
        <f t="shared" si="1"/>
        <v>0</v>
      </c>
      <c r="R7" s="32"/>
      <c r="S7" s="32"/>
      <c r="T7" s="32"/>
      <c r="U7" s="32"/>
      <c r="V7" s="32"/>
      <c r="W7" s="32"/>
      <c r="Y7" s="32"/>
      <c r="Z7" s="31"/>
      <c r="AA7" s="31"/>
      <c r="AB7" s="31"/>
      <c r="AC7" s="31"/>
      <c r="AD7" s="31"/>
      <c r="AE7" s="276">
        <f t="shared" si="2"/>
        <v>0</v>
      </c>
      <c r="AI7" s="11">
        <f>SUM(I49,Z49)</f>
        <v>0</v>
      </c>
      <c r="AJ7" s="13"/>
      <c r="AK7" s="126" t="s">
        <v>15</v>
      </c>
    </row>
    <row r="8">
      <c r="A8" s="32"/>
      <c r="B8" s="32"/>
      <c r="C8" s="32"/>
      <c r="D8" s="32"/>
      <c r="E8" s="32"/>
      <c r="F8" s="32"/>
      <c r="H8" s="32"/>
      <c r="I8" s="31"/>
      <c r="J8" s="31"/>
      <c r="K8" s="31"/>
      <c r="L8" s="31"/>
      <c r="M8" s="31"/>
      <c r="N8" s="276">
        <f t="shared" si="1"/>
        <v>0</v>
      </c>
      <c r="R8" s="32"/>
      <c r="S8" s="32"/>
      <c r="T8" s="32"/>
      <c r="U8" s="32"/>
      <c r="V8" s="32"/>
      <c r="W8" s="32"/>
      <c r="Y8" s="32"/>
      <c r="Z8" s="31"/>
      <c r="AA8" s="31"/>
      <c r="AB8" s="31"/>
      <c r="AC8" s="31"/>
      <c r="AD8" s="31"/>
      <c r="AE8" s="276">
        <f t="shared" si="2"/>
        <v>0</v>
      </c>
      <c r="AI8" s="63"/>
      <c r="AJ8" s="65"/>
      <c r="AK8" s="69"/>
    </row>
    <row r="9">
      <c r="A9" s="279"/>
      <c r="B9" s="107"/>
      <c r="C9" s="32"/>
      <c r="D9" s="32"/>
      <c r="E9" s="32"/>
      <c r="F9" s="32"/>
      <c r="H9" s="32"/>
      <c r="I9" s="31"/>
      <c r="J9" s="31"/>
      <c r="K9" s="31"/>
      <c r="L9" s="31"/>
      <c r="M9" s="31"/>
      <c r="N9" s="276">
        <f t="shared" si="1"/>
        <v>0</v>
      </c>
      <c r="R9" s="32"/>
      <c r="S9" s="31"/>
      <c r="T9" s="32"/>
      <c r="U9" s="32"/>
      <c r="V9" s="32"/>
      <c r="W9" s="32"/>
      <c r="Y9" s="32"/>
      <c r="Z9" s="31"/>
      <c r="AA9" s="31"/>
      <c r="AB9" s="31"/>
      <c r="AC9" s="31"/>
      <c r="AD9" s="31"/>
      <c r="AE9" s="276">
        <f t="shared" si="2"/>
        <v>0</v>
      </c>
      <c r="AI9" s="11">
        <f>SUM(AC49,L49)</f>
        <v>0</v>
      </c>
      <c r="AJ9" s="13"/>
      <c r="AK9" s="126" t="s">
        <v>16</v>
      </c>
    </row>
    <row r="10">
      <c r="A10" s="32"/>
      <c r="B10" s="32"/>
      <c r="C10" s="280"/>
      <c r="D10" s="280"/>
      <c r="E10" s="280"/>
      <c r="F10" s="32"/>
      <c r="H10" s="32"/>
      <c r="I10" s="31"/>
      <c r="J10" s="31"/>
      <c r="K10" s="31"/>
      <c r="L10" s="31"/>
      <c r="M10" s="31"/>
      <c r="N10" s="276">
        <f t="shared" si="1"/>
        <v>0</v>
      </c>
      <c r="R10" s="32"/>
      <c r="S10" s="32"/>
      <c r="T10" s="32"/>
      <c r="U10" s="32"/>
      <c r="V10" s="32"/>
      <c r="W10" s="32"/>
      <c r="Y10" s="32"/>
      <c r="Z10" s="31"/>
      <c r="AA10" s="31"/>
      <c r="AB10" s="31"/>
      <c r="AC10" s="31"/>
      <c r="AD10" s="31"/>
      <c r="AE10" s="276">
        <f t="shared" si="2"/>
        <v>0</v>
      </c>
      <c r="AI10" s="63"/>
      <c r="AJ10" s="65"/>
      <c r="AK10" s="69"/>
    </row>
    <row r="11">
      <c r="A11" s="32"/>
      <c r="B11" s="32"/>
      <c r="C11" s="280"/>
      <c r="D11" s="280"/>
      <c r="E11" s="280"/>
      <c r="F11" s="32"/>
      <c r="H11" s="32"/>
      <c r="I11" s="31"/>
      <c r="J11" s="31"/>
      <c r="K11" s="31"/>
      <c r="L11" s="31"/>
      <c r="M11" s="31"/>
      <c r="N11" s="276">
        <f t="shared" si="1"/>
        <v>0</v>
      </c>
      <c r="R11" s="31"/>
      <c r="S11" s="31"/>
      <c r="T11" s="32"/>
      <c r="U11" s="32"/>
      <c r="V11" s="32"/>
      <c r="W11" s="32"/>
      <c r="Y11" s="32"/>
      <c r="Z11" s="31"/>
      <c r="AA11" s="31"/>
      <c r="AB11" s="31"/>
      <c r="AC11" s="31"/>
      <c r="AD11" s="31"/>
      <c r="AE11" s="276">
        <f t="shared" si="2"/>
        <v>0</v>
      </c>
      <c r="AI11" s="11">
        <f>SUM(Y49,H49)</f>
        <v>0</v>
      </c>
      <c r="AJ11" s="12"/>
      <c r="AK11" s="126" t="s">
        <v>3</v>
      </c>
    </row>
    <row r="12">
      <c r="A12" s="32"/>
      <c r="B12" s="32"/>
      <c r="C12" s="32"/>
      <c r="D12" s="32"/>
      <c r="E12" s="32"/>
      <c r="F12" s="32"/>
      <c r="H12" s="32"/>
      <c r="I12" s="31"/>
      <c r="J12" s="31"/>
      <c r="K12" s="31"/>
      <c r="L12" s="31"/>
      <c r="M12" s="31"/>
      <c r="N12" s="276">
        <f t="shared" si="1"/>
        <v>0</v>
      </c>
      <c r="R12" s="31"/>
      <c r="S12" s="31"/>
      <c r="T12" s="32"/>
      <c r="U12" s="32"/>
      <c r="V12" s="32"/>
      <c r="W12" s="32"/>
      <c r="Y12" s="32"/>
      <c r="Z12" s="31"/>
      <c r="AA12" s="31"/>
      <c r="AB12" s="31"/>
      <c r="AC12" s="31"/>
      <c r="AD12" s="31"/>
      <c r="AE12" s="276">
        <f t="shared" si="2"/>
        <v>0</v>
      </c>
      <c r="AI12" s="63"/>
      <c r="AJ12" s="64"/>
      <c r="AK12" s="69"/>
    </row>
    <row r="13">
      <c r="A13" s="32"/>
      <c r="B13" s="32"/>
      <c r="C13" s="32"/>
      <c r="D13" s="32"/>
      <c r="E13" s="32"/>
      <c r="F13" s="32"/>
      <c r="H13" s="32"/>
      <c r="I13" s="31"/>
      <c r="J13" s="31"/>
      <c r="K13" s="31"/>
      <c r="L13" s="31"/>
      <c r="M13" s="31"/>
      <c r="N13" s="276">
        <f t="shared" si="1"/>
        <v>0</v>
      </c>
      <c r="R13" s="32"/>
      <c r="S13" s="32"/>
      <c r="T13" s="32"/>
      <c r="U13" s="32"/>
      <c r="V13" s="32"/>
      <c r="W13" s="32"/>
      <c r="Y13" s="32"/>
      <c r="Z13" s="31"/>
      <c r="AA13" s="31"/>
      <c r="AB13" s="31"/>
      <c r="AC13" s="31"/>
      <c r="AD13" s="31"/>
      <c r="AE13" s="276">
        <f t="shared" si="2"/>
        <v>0</v>
      </c>
    </row>
    <row r="14">
      <c r="A14" s="32"/>
      <c r="B14" s="32"/>
      <c r="C14" s="32"/>
      <c r="D14" s="32"/>
      <c r="E14" s="32"/>
      <c r="F14" s="32"/>
      <c r="H14" s="32"/>
      <c r="I14" s="31"/>
      <c r="J14" s="31"/>
      <c r="K14" s="31"/>
      <c r="L14" s="31"/>
      <c r="M14" s="31"/>
      <c r="N14" s="276">
        <f t="shared" si="1"/>
        <v>0</v>
      </c>
      <c r="R14" s="32"/>
      <c r="S14" s="32"/>
      <c r="T14" s="32"/>
      <c r="U14" s="32"/>
      <c r="V14" s="32"/>
      <c r="W14" s="32"/>
      <c r="Y14" s="32"/>
      <c r="Z14" s="31"/>
      <c r="AA14" s="31"/>
      <c r="AB14" s="31"/>
      <c r="AC14" s="31"/>
      <c r="AD14" s="31"/>
      <c r="AE14" s="276">
        <f t="shared" si="2"/>
        <v>0</v>
      </c>
    </row>
    <row r="15">
      <c r="A15" s="32"/>
      <c r="B15" s="32"/>
      <c r="C15" s="32"/>
      <c r="D15" s="32"/>
      <c r="E15" s="32"/>
      <c r="F15" s="32"/>
      <c r="H15" s="32"/>
      <c r="I15" s="31"/>
      <c r="J15" s="31"/>
      <c r="K15" s="31"/>
      <c r="L15" s="31"/>
      <c r="M15" s="31"/>
      <c r="N15" s="276">
        <f t="shared" si="1"/>
        <v>0</v>
      </c>
      <c r="R15" s="32"/>
      <c r="S15" s="32"/>
      <c r="T15" s="32"/>
      <c r="U15" s="32"/>
      <c r="V15" s="32"/>
      <c r="W15" s="32"/>
      <c r="Y15" s="32"/>
      <c r="Z15" s="31"/>
      <c r="AA15" s="31"/>
      <c r="AB15" s="31"/>
      <c r="AC15" s="31"/>
      <c r="AD15" s="31"/>
      <c r="AE15" s="276">
        <f t="shared" si="2"/>
        <v>0</v>
      </c>
    </row>
    <row r="16">
      <c r="A16" s="32"/>
      <c r="B16" s="32"/>
      <c r="C16" s="32"/>
      <c r="D16" s="32"/>
      <c r="E16" s="32"/>
      <c r="F16" s="32"/>
      <c r="H16" s="32"/>
      <c r="I16" s="31"/>
      <c r="J16" s="31"/>
      <c r="K16" s="31"/>
      <c r="L16" s="31"/>
      <c r="M16" s="31"/>
      <c r="N16" s="276">
        <f t="shared" si="1"/>
        <v>0</v>
      </c>
      <c r="R16" s="32"/>
      <c r="S16" s="32"/>
      <c r="T16" s="32"/>
      <c r="U16" s="32"/>
      <c r="V16" s="32"/>
      <c r="W16" s="32"/>
      <c r="Y16" s="32"/>
      <c r="Z16" s="31"/>
      <c r="AA16" s="31"/>
      <c r="AB16" s="31"/>
      <c r="AC16" s="31"/>
      <c r="AD16" s="31"/>
      <c r="AE16" s="276">
        <f t="shared" si="2"/>
        <v>0</v>
      </c>
    </row>
    <row r="17">
      <c r="A17" s="31"/>
      <c r="B17" s="31"/>
      <c r="C17" s="32"/>
      <c r="D17" s="32"/>
      <c r="E17" s="32"/>
      <c r="F17" s="32"/>
      <c r="H17" s="32"/>
      <c r="I17" s="31"/>
      <c r="J17" s="31"/>
      <c r="K17" s="31"/>
      <c r="L17" s="31"/>
      <c r="M17" s="31"/>
      <c r="N17" s="276">
        <f t="shared" si="1"/>
        <v>0</v>
      </c>
      <c r="R17" s="32"/>
      <c r="S17" s="32"/>
      <c r="T17" s="32"/>
      <c r="U17" s="32"/>
      <c r="V17" s="32"/>
      <c r="W17" s="32"/>
      <c r="Y17" s="32"/>
      <c r="Z17" s="31"/>
      <c r="AA17" s="31"/>
      <c r="AB17" s="31"/>
      <c r="AC17" s="31"/>
      <c r="AD17" s="31"/>
      <c r="AE17" s="276">
        <f t="shared" si="2"/>
        <v>0</v>
      </c>
    </row>
    <row r="18">
      <c r="A18" s="32"/>
      <c r="B18" s="32"/>
      <c r="C18" s="32"/>
      <c r="D18" s="32"/>
      <c r="E18" s="32"/>
      <c r="F18" s="32"/>
      <c r="H18" s="32"/>
      <c r="I18" s="31"/>
      <c r="J18" s="31"/>
      <c r="K18" s="31"/>
      <c r="L18" s="31"/>
      <c r="M18" s="31"/>
      <c r="N18" s="276">
        <f t="shared" si="1"/>
        <v>0</v>
      </c>
      <c r="R18" s="32"/>
      <c r="S18" s="32"/>
      <c r="T18" s="32"/>
      <c r="U18" s="32"/>
      <c r="V18" s="32"/>
      <c r="W18" s="32"/>
      <c r="Y18" s="32"/>
      <c r="Z18" s="31"/>
      <c r="AA18" s="31"/>
      <c r="AB18" s="31"/>
      <c r="AC18" s="31"/>
      <c r="AD18" s="31"/>
      <c r="AE18" s="276">
        <f t="shared" si="2"/>
        <v>0</v>
      </c>
    </row>
    <row r="19">
      <c r="A19" s="32"/>
      <c r="B19" s="32"/>
      <c r="C19" s="32"/>
      <c r="D19" s="32"/>
      <c r="E19" s="32"/>
      <c r="F19" s="32"/>
      <c r="H19" s="32"/>
      <c r="I19" s="32"/>
      <c r="J19" s="31"/>
      <c r="K19" s="31"/>
      <c r="L19" s="31"/>
      <c r="M19" s="31"/>
      <c r="N19" s="276">
        <f t="shared" si="1"/>
        <v>0</v>
      </c>
      <c r="R19" s="32"/>
      <c r="S19" s="32"/>
      <c r="T19" s="32"/>
      <c r="U19" s="32"/>
      <c r="V19" s="32"/>
      <c r="W19" s="32"/>
      <c r="Y19" s="32"/>
      <c r="Z19" s="31"/>
      <c r="AA19" s="31"/>
      <c r="AB19" s="31"/>
      <c r="AC19" s="31"/>
      <c r="AD19" s="31"/>
      <c r="AE19" s="276">
        <f t="shared" si="2"/>
        <v>0</v>
      </c>
    </row>
    <row r="20">
      <c r="A20" s="32"/>
      <c r="B20" s="32"/>
      <c r="C20" s="32"/>
      <c r="D20" s="32"/>
      <c r="E20" s="32"/>
      <c r="F20" s="32"/>
      <c r="H20" s="32"/>
      <c r="I20" s="31"/>
      <c r="J20" s="31"/>
      <c r="K20" s="31"/>
      <c r="L20" s="31"/>
      <c r="M20" s="31"/>
      <c r="N20" s="276">
        <f t="shared" si="1"/>
        <v>0</v>
      </c>
      <c r="R20" s="32"/>
      <c r="S20" s="32"/>
      <c r="T20" s="32"/>
      <c r="U20" s="32"/>
      <c r="V20" s="32"/>
      <c r="W20" s="32"/>
      <c r="Y20" s="32"/>
      <c r="Z20" s="31"/>
      <c r="AA20" s="31"/>
      <c r="AB20" s="31"/>
      <c r="AC20" s="31"/>
      <c r="AD20" s="31"/>
      <c r="AE20" s="276">
        <f t="shared" si="2"/>
        <v>0</v>
      </c>
    </row>
    <row r="21" ht="15.75" customHeight="1">
      <c r="A21" s="32"/>
      <c r="B21" s="32"/>
      <c r="C21" s="32"/>
      <c r="D21" s="32"/>
      <c r="E21" s="32"/>
      <c r="F21" s="32"/>
      <c r="H21" s="32"/>
      <c r="I21" s="31"/>
      <c r="J21" s="31"/>
      <c r="K21" s="31"/>
      <c r="L21" s="31"/>
      <c r="M21" s="31"/>
      <c r="N21" s="276">
        <f t="shared" si="1"/>
        <v>0</v>
      </c>
      <c r="R21" s="31"/>
      <c r="S21" s="31"/>
      <c r="T21" s="32"/>
      <c r="U21" s="32"/>
      <c r="V21" s="32"/>
      <c r="W21" s="32"/>
      <c r="Y21" s="32"/>
      <c r="Z21" s="31"/>
      <c r="AA21" s="31"/>
      <c r="AB21" s="31"/>
      <c r="AC21" s="31"/>
      <c r="AD21" s="31"/>
      <c r="AE21" s="276">
        <f t="shared" si="2"/>
        <v>0</v>
      </c>
    </row>
    <row r="22" ht="15.75" customHeight="1">
      <c r="A22" s="32"/>
      <c r="B22" s="32"/>
      <c r="C22" s="32"/>
      <c r="D22" s="32"/>
      <c r="E22" s="32"/>
      <c r="F22" s="32"/>
      <c r="H22" s="32"/>
      <c r="I22" s="31"/>
      <c r="J22" s="31"/>
      <c r="K22" s="31"/>
      <c r="L22" s="31"/>
      <c r="M22" s="31"/>
      <c r="N22" s="276">
        <f t="shared" si="1"/>
        <v>0</v>
      </c>
      <c r="R22" s="31"/>
      <c r="S22" s="31"/>
      <c r="T22" s="32"/>
      <c r="U22" s="32"/>
      <c r="V22" s="32"/>
      <c r="W22" s="32"/>
      <c r="Y22" s="32"/>
      <c r="Z22" s="31"/>
      <c r="AA22" s="31"/>
      <c r="AB22" s="31"/>
      <c r="AC22" s="31"/>
      <c r="AD22" s="31"/>
      <c r="AE22" s="276">
        <f t="shared" si="2"/>
        <v>0</v>
      </c>
    </row>
    <row r="23" ht="15.75" customHeight="1">
      <c r="A23" s="32"/>
      <c r="B23" s="32"/>
      <c r="C23" s="32"/>
      <c r="D23" s="32"/>
      <c r="E23" s="32"/>
      <c r="F23" s="32"/>
      <c r="H23" s="32"/>
      <c r="I23" s="31"/>
      <c r="J23" s="31"/>
      <c r="K23" s="31"/>
      <c r="L23" s="31"/>
      <c r="M23" s="31"/>
      <c r="N23" s="276">
        <f t="shared" si="1"/>
        <v>0</v>
      </c>
      <c r="R23" s="32"/>
      <c r="S23" s="32"/>
      <c r="T23" s="32"/>
      <c r="U23" s="32"/>
      <c r="V23" s="32"/>
      <c r="W23" s="32"/>
      <c r="Y23" s="32"/>
      <c r="Z23" s="31"/>
      <c r="AA23" s="31"/>
      <c r="AB23" s="31"/>
      <c r="AC23" s="31"/>
      <c r="AD23" s="31"/>
      <c r="AE23" s="276">
        <f t="shared" si="2"/>
        <v>0</v>
      </c>
    </row>
    <row r="24" ht="15.75" customHeight="1">
      <c r="A24" s="32"/>
      <c r="B24" s="32"/>
      <c r="C24" s="32"/>
      <c r="D24" s="32"/>
      <c r="E24" s="32"/>
      <c r="F24" s="32"/>
      <c r="H24" s="32"/>
      <c r="I24" s="31"/>
      <c r="J24" s="31"/>
      <c r="K24" s="31"/>
      <c r="L24" s="31"/>
      <c r="M24" s="31"/>
      <c r="N24" s="276">
        <f t="shared" si="1"/>
        <v>0</v>
      </c>
      <c r="R24" s="32"/>
      <c r="S24" s="32"/>
      <c r="T24" s="32"/>
      <c r="U24" s="32"/>
      <c r="V24" s="32"/>
      <c r="W24" s="32"/>
      <c r="Y24" s="32"/>
      <c r="Z24" s="31"/>
      <c r="AA24" s="31"/>
      <c r="AB24" s="31"/>
      <c r="AC24" s="31"/>
      <c r="AD24" s="31"/>
      <c r="AE24" s="276">
        <f t="shared" si="2"/>
        <v>0</v>
      </c>
    </row>
    <row r="25" ht="15.75" customHeight="1">
      <c r="A25" s="32"/>
      <c r="B25" s="32"/>
      <c r="C25" s="32"/>
      <c r="D25" s="32"/>
      <c r="E25" s="32"/>
      <c r="F25" s="32"/>
      <c r="H25" s="32"/>
      <c r="I25" s="31"/>
      <c r="J25" s="31"/>
      <c r="K25" s="31"/>
      <c r="L25" s="31"/>
      <c r="M25" s="31"/>
      <c r="N25" s="276">
        <f t="shared" si="1"/>
        <v>0</v>
      </c>
      <c r="R25" s="32"/>
      <c r="S25" s="32"/>
      <c r="T25" s="32"/>
      <c r="U25" s="32"/>
      <c r="V25" s="32"/>
      <c r="W25" s="32"/>
      <c r="Y25" s="32"/>
      <c r="Z25" s="31"/>
      <c r="AA25" s="31"/>
      <c r="AB25" s="31"/>
      <c r="AC25" s="31"/>
      <c r="AD25" s="31"/>
      <c r="AE25" s="276">
        <f t="shared" si="2"/>
        <v>0</v>
      </c>
    </row>
    <row r="26" ht="15.75" customHeight="1">
      <c r="A26" s="32"/>
      <c r="B26" s="32"/>
      <c r="C26" s="32"/>
      <c r="D26" s="32"/>
      <c r="E26" s="32"/>
      <c r="F26" s="32"/>
      <c r="H26" s="32"/>
      <c r="I26" s="31"/>
      <c r="J26" s="31"/>
      <c r="K26" s="31"/>
      <c r="L26" s="31"/>
      <c r="M26" s="31"/>
      <c r="N26" s="276">
        <f t="shared" si="1"/>
        <v>0</v>
      </c>
      <c r="R26" s="32"/>
      <c r="S26" s="32"/>
      <c r="T26" s="32"/>
      <c r="U26" s="32"/>
      <c r="V26" s="32"/>
      <c r="W26" s="32"/>
      <c r="Y26" s="32"/>
      <c r="Z26" s="31"/>
      <c r="AA26" s="31"/>
      <c r="AB26" s="31"/>
      <c r="AC26" s="31"/>
      <c r="AD26" s="31"/>
      <c r="AE26" s="276">
        <f t="shared" si="2"/>
        <v>0</v>
      </c>
    </row>
    <row r="27" ht="15.75" customHeight="1">
      <c r="A27" s="32"/>
      <c r="B27" s="32"/>
      <c r="C27" s="32"/>
      <c r="D27" s="32"/>
      <c r="E27" s="32"/>
      <c r="F27" s="32"/>
      <c r="H27" s="32"/>
      <c r="I27" s="31"/>
      <c r="J27" s="31"/>
      <c r="K27" s="31"/>
      <c r="L27" s="31"/>
      <c r="M27" s="31"/>
      <c r="N27" s="276">
        <f t="shared" si="1"/>
        <v>0</v>
      </c>
      <c r="R27" s="32"/>
      <c r="S27" s="32"/>
      <c r="T27" s="32"/>
      <c r="U27" s="32"/>
      <c r="V27" s="32"/>
      <c r="W27" s="32"/>
      <c r="Y27" s="32"/>
      <c r="Z27" s="31"/>
      <c r="AA27" s="31"/>
      <c r="AB27" s="31"/>
      <c r="AC27" s="31"/>
      <c r="AD27" s="31"/>
      <c r="AE27" s="276">
        <f t="shared" si="2"/>
        <v>0</v>
      </c>
    </row>
    <row r="28" ht="15.75" customHeight="1">
      <c r="A28" s="32"/>
      <c r="B28" s="32"/>
      <c r="C28" s="32"/>
      <c r="D28" s="32"/>
      <c r="E28" s="32"/>
      <c r="F28" s="32"/>
      <c r="H28" s="32"/>
      <c r="I28" s="31"/>
      <c r="J28" s="31"/>
      <c r="K28" s="31"/>
      <c r="L28" s="31"/>
      <c r="M28" s="31"/>
      <c r="N28" s="276">
        <f t="shared" si="1"/>
        <v>0</v>
      </c>
      <c r="R28" s="32"/>
      <c r="S28" s="32"/>
      <c r="T28" s="32"/>
      <c r="U28" s="32"/>
      <c r="V28" s="32"/>
      <c r="W28" s="32"/>
      <c r="Y28" s="32"/>
      <c r="Z28" s="31"/>
      <c r="AA28" s="31"/>
      <c r="AB28" s="31"/>
      <c r="AC28" s="31"/>
      <c r="AD28" s="31"/>
      <c r="AE28" s="276">
        <f t="shared" si="2"/>
        <v>0</v>
      </c>
    </row>
    <row r="29" ht="15.75" customHeight="1">
      <c r="A29" s="32"/>
      <c r="B29" s="32"/>
      <c r="C29" s="32"/>
      <c r="D29" s="32"/>
      <c r="E29" s="32"/>
      <c r="F29" s="32"/>
      <c r="H29" s="32"/>
      <c r="I29" s="31"/>
      <c r="J29" s="31"/>
      <c r="K29" s="31"/>
      <c r="L29" s="31"/>
      <c r="M29" s="31"/>
      <c r="N29" s="276">
        <f t="shared" si="1"/>
        <v>0</v>
      </c>
      <c r="R29" s="32"/>
      <c r="S29" s="32"/>
      <c r="T29" s="32"/>
      <c r="U29" s="32"/>
      <c r="V29" s="32"/>
      <c r="W29" s="32"/>
      <c r="Y29" s="32"/>
      <c r="Z29" s="31"/>
      <c r="AA29" s="31"/>
      <c r="AB29" s="31"/>
      <c r="AC29" s="31"/>
      <c r="AD29" s="31"/>
      <c r="AE29" s="276">
        <f t="shared" si="2"/>
        <v>0</v>
      </c>
    </row>
    <row r="30" ht="15.75" customHeight="1">
      <c r="A30" s="32"/>
      <c r="B30" s="32"/>
      <c r="C30" s="32"/>
      <c r="D30" s="32"/>
      <c r="E30" s="32"/>
      <c r="F30" s="32"/>
      <c r="H30" s="32"/>
      <c r="I30" s="31"/>
      <c r="J30" s="31"/>
      <c r="K30" s="31"/>
      <c r="L30" s="31"/>
      <c r="M30" s="31"/>
      <c r="N30" s="276">
        <f t="shared" si="1"/>
        <v>0</v>
      </c>
      <c r="R30" s="32"/>
      <c r="S30" s="32"/>
      <c r="T30" s="32"/>
      <c r="U30" s="32"/>
      <c r="V30" s="32"/>
      <c r="W30" s="32"/>
      <c r="Y30" s="32"/>
      <c r="Z30" s="31"/>
      <c r="AA30" s="31"/>
      <c r="AB30" s="31"/>
      <c r="AC30" s="31"/>
      <c r="AD30" s="31"/>
      <c r="AE30" s="276">
        <f t="shared" si="2"/>
        <v>0</v>
      </c>
    </row>
    <row r="31" ht="15.75" customHeight="1">
      <c r="A31" s="32"/>
      <c r="B31" s="32"/>
      <c r="C31" s="32"/>
      <c r="D31" s="32"/>
      <c r="E31" s="32"/>
      <c r="F31" s="32"/>
      <c r="H31" s="32"/>
      <c r="I31" s="32"/>
      <c r="J31" s="32"/>
      <c r="K31" s="32"/>
      <c r="L31" s="32"/>
      <c r="M31" s="32"/>
      <c r="N31" s="276">
        <f t="shared" si="1"/>
        <v>0</v>
      </c>
      <c r="R31" s="32"/>
      <c r="S31" s="32"/>
      <c r="T31" s="32"/>
      <c r="U31" s="32"/>
      <c r="V31" s="32"/>
      <c r="W31" s="32"/>
      <c r="Y31" s="32"/>
      <c r="Z31" s="32"/>
      <c r="AA31" s="32"/>
      <c r="AB31" s="32"/>
      <c r="AC31" s="32"/>
      <c r="AD31" s="32"/>
      <c r="AE31" s="276">
        <f t="shared" si="2"/>
        <v>0</v>
      </c>
    </row>
    <row r="32" ht="15.75" customHeight="1">
      <c r="A32" s="32"/>
      <c r="B32" s="32"/>
      <c r="C32" s="32"/>
      <c r="D32" s="32"/>
      <c r="E32" s="32"/>
      <c r="F32" s="32"/>
      <c r="H32" s="32"/>
      <c r="I32" s="32"/>
      <c r="J32" s="32"/>
      <c r="K32" s="32"/>
      <c r="L32" s="32"/>
      <c r="M32" s="32"/>
      <c r="N32" s="276">
        <f t="shared" si="1"/>
        <v>0</v>
      </c>
      <c r="R32" s="32"/>
      <c r="S32" s="32"/>
      <c r="T32" s="32"/>
      <c r="U32" s="32"/>
      <c r="V32" s="32"/>
      <c r="W32" s="32"/>
      <c r="Y32" s="32"/>
      <c r="Z32" s="32"/>
      <c r="AA32" s="32"/>
      <c r="AB32" s="32"/>
      <c r="AC32" s="32"/>
      <c r="AD32" s="32"/>
      <c r="AE32" s="276">
        <f t="shared" si="2"/>
        <v>0</v>
      </c>
      <c r="AJ32" s="129"/>
    </row>
    <row r="33" ht="15.75" customHeight="1">
      <c r="A33" s="32"/>
      <c r="B33" s="32"/>
      <c r="C33" s="32"/>
      <c r="D33" s="32"/>
      <c r="E33" s="32"/>
      <c r="F33" s="32"/>
      <c r="H33" s="281" t="s">
        <v>21</v>
      </c>
      <c r="I33" s="106"/>
      <c r="J33" s="106"/>
      <c r="K33" s="106"/>
      <c r="L33" s="106"/>
      <c r="M33" s="106"/>
      <c r="N33" s="107"/>
      <c r="R33" s="32"/>
      <c r="S33" s="32"/>
      <c r="T33" s="32"/>
      <c r="U33" s="32"/>
      <c r="V33" s="32"/>
      <c r="W33" s="32"/>
      <c r="Y33" s="281" t="s">
        <v>21</v>
      </c>
      <c r="Z33" s="106"/>
      <c r="AA33" s="106"/>
      <c r="AB33" s="106"/>
      <c r="AC33" s="106"/>
      <c r="AD33" s="106"/>
      <c r="AE33" s="107"/>
      <c r="AJ33" s="129"/>
      <c r="AK33" s="129"/>
    </row>
    <row r="34" ht="15.75" customHeight="1">
      <c r="A34" s="32"/>
      <c r="B34" s="32"/>
      <c r="C34" s="32"/>
      <c r="D34" s="32"/>
      <c r="E34" s="32"/>
      <c r="F34" s="32"/>
      <c r="H34" s="276"/>
      <c r="I34" s="276"/>
      <c r="J34" s="276"/>
      <c r="K34" s="276"/>
      <c r="L34" s="276"/>
      <c r="M34" s="281">
        <f>SUM(N4:N32)</f>
        <v>0</v>
      </c>
      <c r="N34" s="107"/>
      <c r="R34" s="32"/>
      <c r="S34" s="32"/>
      <c r="T34" s="32"/>
      <c r="U34" s="32"/>
      <c r="V34" s="32"/>
      <c r="W34" s="32"/>
      <c r="Y34" s="276"/>
      <c r="Z34" s="276"/>
      <c r="AA34" s="276"/>
      <c r="AB34" s="276"/>
      <c r="AC34" s="276"/>
      <c r="AD34" s="281">
        <f>SUM(AE4:AE32)</f>
        <v>0</v>
      </c>
      <c r="AE34" s="107"/>
      <c r="AJ34" s="129"/>
      <c r="AK34" s="129"/>
    </row>
    <row r="35" ht="15.75" customHeight="1">
      <c r="A35" s="32"/>
      <c r="B35" s="32"/>
      <c r="C35" s="32"/>
      <c r="D35" s="32"/>
      <c r="E35" s="32"/>
      <c r="F35" s="32"/>
      <c r="R35" s="32"/>
      <c r="S35" s="32"/>
      <c r="T35" s="32"/>
      <c r="U35" s="32"/>
      <c r="V35" s="32"/>
      <c r="W35" s="32"/>
      <c r="AJ35" s="129"/>
      <c r="AK35" s="129"/>
    </row>
    <row r="36" ht="15.75" customHeight="1">
      <c r="A36" s="32"/>
      <c r="B36" s="32"/>
      <c r="C36" s="32"/>
      <c r="D36" s="32"/>
      <c r="E36" s="32"/>
      <c r="F36" s="32"/>
      <c r="H36" s="282" t="s">
        <v>22</v>
      </c>
      <c r="I36" s="64"/>
      <c r="J36" s="64"/>
      <c r="K36" s="64"/>
      <c r="L36" s="64"/>
      <c r="M36" s="64"/>
      <c r="N36" s="64"/>
      <c r="R36" s="32"/>
      <c r="S36" s="32"/>
      <c r="T36" s="32"/>
      <c r="U36" s="32"/>
      <c r="V36" s="32"/>
      <c r="W36" s="32"/>
      <c r="Y36" s="282" t="s">
        <v>22</v>
      </c>
      <c r="Z36" s="64"/>
      <c r="AA36" s="64"/>
      <c r="AB36" s="64"/>
      <c r="AC36" s="64"/>
      <c r="AD36" s="64"/>
      <c r="AE36" s="64"/>
      <c r="AJ36" s="129"/>
      <c r="AK36" s="129"/>
    </row>
    <row r="37" ht="15.75" customHeight="1">
      <c r="A37" s="32"/>
      <c r="B37" s="32"/>
      <c r="C37" s="32"/>
      <c r="D37" s="32"/>
      <c r="E37" s="32"/>
      <c r="F37" s="32"/>
      <c r="R37" s="32"/>
      <c r="S37" s="32"/>
      <c r="T37" s="32"/>
      <c r="U37" s="32"/>
      <c r="V37" s="32"/>
      <c r="W37" s="32"/>
      <c r="AJ37" s="129"/>
      <c r="AK37" s="129"/>
    </row>
    <row r="38" ht="15.75" customHeight="1">
      <c r="A38" s="32"/>
      <c r="B38" s="32"/>
      <c r="C38" s="32"/>
      <c r="D38" s="32"/>
      <c r="E38" s="32"/>
      <c r="F38" s="32"/>
      <c r="R38" s="32"/>
      <c r="S38" s="32"/>
      <c r="T38" s="32"/>
      <c r="U38" s="32"/>
      <c r="V38" s="32"/>
      <c r="W38" s="32"/>
      <c r="AJ38" s="129"/>
      <c r="AK38" s="129"/>
    </row>
    <row r="39" ht="15.75" customHeight="1">
      <c r="A39" s="32"/>
      <c r="B39" s="32"/>
      <c r="C39" s="32"/>
      <c r="D39" s="32"/>
      <c r="E39" s="32"/>
      <c r="F39" s="32"/>
      <c r="R39" s="32"/>
      <c r="S39" s="32"/>
      <c r="T39" s="32"/>
      <c r="U39" s="32"/>
      <c r="V39" s="32"/>
      <c r="W39" s="32"/>
      <c r="AJ39" s="129"/>
      <c r="AK39" s="129"/>
    </row>
    <row r="40" ht="15.75" customHeight="1">
      <c r="A40" s="32"/>
      <c r="B40" s="32"/>
      <c r="C40" s="32"/>
      <c r="D40" s="32"/>
      <c r="E40" s="32"/>
      <c r="F40" s="32"/>
      <c r="R40" s="32"/>
      <c r="S40" s="32"/>
      <c r="T40" s="32"/>
      <c r="U40" s="32"/>
      <c r="V40" s="32"/>
      <c r="W40" s="32"/>
      <c r="AJ40" s="129"/>
      <c r="AK40" s="129"/>
    </row>
    <row r="41" ht="15.75" customHeight="1">
      <c r="A41" s="32"/>
      <c r="B41" s="32"/>
      <c r="C41" s="32"/>
      <c r="D41" s="32"/>
      <c r="E41" s="32"/>
      <c r="F41" s="32"/>
      <c r="R41" s="32"/>
      <c r="S41" s="32"/>
      <c r="T41" s="32"/>
      <c r="U41" s="32"/>
      <c r="V41" s="32"/>
      <c r="W41" s="32"/>
      <c r="AJ41" s="129"/>
      <c r="AK41" s="129"/>
    </row>
    <row r="42" ht="15.75" customHeight="1">
      <c r="A42" s="32"/>
      <c r="B42" s="32"/>
      <c r="C42" s="32"/>
      <c r="D42" s="32"/>
      <c r="E42" s="32"/>
      <c r="F42" s="32"/>
      <c r="R42" s="32"/>
      <c r="S42" s="32"/>
      <c r="T42" s="32"/>
      <c r="U42" s="32"/>
      <c r="V42" s="32"/>
      <c r="W42" s="32"/>
      <c r="AJ42" s="129"/>
      <c r="AK42" s="129"/>
    </row>
    <row r="43" ht="15.75" customHeight="1">
      <c r="A43" s="32"/>
      <c r="B43" s="32"/>
      <c r="C43" s="32"/>
      <c r="D43" s="32"/>
      <c r="E43" s="32"/>
      <c r="F43" s="32"/>
      <c r="R43" s="32"/>
      <c r="S43" s="32"/>
      <c r="T43" s="32"/>
      <c r="U43" s="32"/>
      <c r="V43" s="32"/>
      <c r="W43" s="32"/>
      <c r="AJ43" s="129"/>
      <c r="AK43" s="129"/>
    </row>
    <row r="44" ht="15.75" customHeight="1">
      <c r="A44" s="32"/>
      <c r="B44" s="32"/>
      <c r="C44" s="32"/>
      <c r="D44" s="32"/>
      <c r="E44" s="32"/>
      <c r="F44" s="32"/>
      <c r="R44" s="32"/>
      <c r="S44" s="32"/>
      <c r="T44" s="32"/>
      <c r="U44" s="32"/>
      <c r="V44" s="32"/>
      <c r="W44" s="32"/>
      <c r="AJ44" s="129"/>
      <c r="AK44" s="129"/>
    </row>
    <row r="45" ht="15.75" customHeight="1">
      <c r="A45" s="32"/>
      <c r="B45" s="32"/>
      <c r="C45" s="32"/>
      <c r="D45" s="32"/>
      <c r="E45" s="32"/>
      <c r="F45" s="32"/>
      <c r="H45" s="283" t="s">
        <v>1</v>
      </c>
      <c r="I45" s="12"/>
      <c r="J45" s="12"/>
      <c r="K45" s="12"/>
      <c r="L45" s="12"/>
      <c r="M45" s="12"/>
      <c r="N45" s="13"/>
      <c r="R45" s="32"/>
      <c r="S45" s="32"/>
      <c r="T45" s="32"/>
      <c r="U45" s="32"/>
      <c r="V45" s="32"/>
      <c r="W45" s="32"/>
      <c r="Y45" s="283" t="s">
        <v>1</v>
      </c>
      <c r="Z45" s="12"/>
      <c r="AA45" s="12"/>
      <c r="AB45" s="12"/>
      <c r="AC45" s="12"/>
      <c r="AD45" s="12"/>
      <c r="AE45" s="13"/>
      <c r="AJ45" s="129"/>
      <c r="AK45" s="129"/>
    </row>
    <row r="46" ht="15.75" customHeight="1">
      <c r="A46" s="32"/>
      <c r="B46" s="32"/>
      <c r="C46" s="32"/>
      <c r="D46" s="32"/>
      <c r="E46" s="32"/>
      <c r="F46" s="32"/>
      <c r="H46" s="63"/>
      <c r="I46" s="64"/>
      <c r="J46" s="64"/>
      <c r="K46" s="64"/>
      <c r="L46" s="64"/>
      <c r="M46" s="64"/>
      <c r="N46" s="65"/>
      <c r="R46" s="32"/>
      <c r="S46" s="32"/>
      <c r="T46" s="32"/>
      <c r="U46" s="32"/>
      <c r="V46" s="32"/>
      <c r="W46" s="32"/>
      <c r="Y46" s="63"/>
      <c r="Z46" s="64"/>
      <c r="AA46" s="64"/>
      <c r="AB46" s="64"/>
      <c r="AC46" s="64"/>
      <c r="AD46" s="64"/>
      <c r="AE46" s="65"/>
      <c r="AJ46" s="129"/>
      <c r="AK46" s="129"/>
    </row>
    <row r="47" ht="15.75" customHeight="1">
      <c r="A47" s="32"/>
      <c r="B47" s="32"/>
      <c r="C47" s="32"/>
      <c r="D47" s="32"/>
      <c r="E47" s="32"/>
      <c r="F47" s="32"/>
      <c r="R47" s="32"/>
      <c r="S47" s="32"/>
      <c r="T47" s="32"/>
      <c r="U47" s="32"/>
      <c r="V47" s="32"/>
      <c r="W47" s="32"/>
      <c r="AJ47" s="129"/>
      <c r="AK47" s="129"/>
    </row>
    <row r="48" ht="15.75" customHeight="1">
      <c r="A48" s="32"/>
      <c r="B48" s="32"/>
      <c r="C48" s="32"/>
      <c r="D48" s="32"/>
      <c r="E48" s="32"/>
      <c r="F48" s="32"/>
      <c r="H48" s="284" t="s">
        <v>3</v>
      </c>
      <c r="I48" s="222" t="s">
        <v>9</v>
      </c>
      <c r="J48" s="5"/>
      <c r="K48" s="6"/>
      <c r="L48" s="222" t="s">
        <v>10</v>
      </c>
      <c r="M48" s="5"/>
      <c r="N48" s="6"/>
      <c r="R48" s="32"/>
      <c r="S48" s="32"/>
      <c r="T48" s="32"/>
      <c r="U48" s="32"/>
      <c r="V48" s="32"/>
      <c r="W48" s="32"/>
      <c r="Y48" s="284" t="s">
        <v>3</v>
      </c>
      <c r="Z48" s="222" t="s">
        <v>9</v>
      </c>
      <c r="AA48" s="5"/>
      <c r="AB48" s="6"/>
      <c r="AC48" s="222" t="s">
        <v>10</v>
      </c>
      <c r="AD48" s="5"/>
      <c r="AE48" s="6"/>
      <c r="AJ48" s="129"/>
      <c r="AK48" s="129"/>
    </row>
    <row r="49" ht="15.75" customHeight="1">
      <c r="A49" s="31"/>
      <c r="B49" s="31"/>
      <c r="C49" s="32"/>
      <c r="D49" s="32"/>
      <c r="E49" s="32"/>
      <c r="F49" s="32"/>
      <c r="H49" s="285">
        <f>SUM(B56,M34)</f>
        <v>0</v>
      </c>
      <c r="I49" s="286">
        <f>COUNT(F4:F54,I4:M32)</f>
        <v>0</v>
      </c>
      <c r="J49" s="12"/>
      <c r="K49" s="13"/>
      <c r="L49" s="286">
        <f>SUM(F4:F54)+COUNT(I4:M32)</f>
        <v>0</v>
      </c>
      <c r="M49" s="12"/>
      <c r="N49" s="13"/>
      <c r="R49" s="32"/>
      <c r="S49" s="32"/>
      <c r="T49" s="32"/>
      <c r="U49" s="32"/>
      <c r="V49" s="32"/>
      <c r="W49" s="32"/>
      <c r="Y49" s="285">
        <f>SUM(S52,AD34)</f>
        <v>0</v>
      </c>
      <c r="Z49" s="286">
        <f>COUNT(W4:W50,Z4:AD32)</f>
        <v>0</v>
      </c>
      <c r="AA49" s="12"/>
      <c r="AB49" s="13"/>
      <c r="AC49" s="286">
        <f>SUM(W4:W50)+COUNT(Z4:AD32)</f>
        <v>0</v>
      </c>
      <c r="AD49" s="12"/>
      <c r="AE49" s="13"/>
      <c r="AJ49" s="129"/>
      <c r="AK49" s="129"/>
    </row>
    <row r="50" ht="15.75" customHeight="1">
      <c r="A50" s="32"/>
      <c r="B50" s="32"/>
      <c r="C50" s="32"/>
      <c r="D50" s="32"/>
      <c r="E50" s="32"/>
      <c r="F50" s="32"/>
      <c r="H50" s="69"/>
      <c r="I50" s="63"/>
      <c r="J50" s="64"/>
      <c r="K50" s="65"/>
      <c r="L50" s="63"/>
      <c r="M50" s="64"/>
      <c r="N50" s="65"/>
      <c r="R50" s="136"/>
      <c r="S50" s="136"/>
      <c r="T50" s="136"/>
      <c r="U50" s="136"/>
      <c r="V50" s="136"/>
      <c r="W50" s="136"/>
      <c r="Y50" s="69"/>
      <c r="Z50" s="63"/>
      <c r="AA50" s="64"/>
      <c r="AB50" s="65"/>
      <c r="AC50" s="63"/>
      <c r="AD50" s="64"/>
      <c r="AE50" s="65"/>
      <c r="AJ50" s="129"/>
      <c r="AK50" s="129"/>
    </row>
    <row r="51" ht="15.75" customHeight="1">
      <c r="A51" s="32"/>
      <c r="B51" s="32"/>
      <c r="C51" s="32"/>
      <c r="D51" s="32"/>
      <c r="E51" s="32"/>
      <c r="F51" s="32"/>
      <c r="R51" s="287" t="s">
        <v>1</v>
      </c>
      <c r="S51" s="5"/>
      <c r="T51" s="5"/>
      <c r="U51" s="5"/>
      <c r="V51" s="5"/>
      <c r="W51" s="5"/>
      <c r="AJ51" s="129"/>
      <c r="AK51" s="129"/>
    </row>
    <row r="52" ht="15.75" customHeight="1">
      <c r="A52" s="32"/>
      <c r="B52" s="32"/>
      <c r="C52" s="32"/>
      <c r="D52" s="32"/>
      <c r="E52" s="32"/>
      <c r="F52" s="32"/>
      <c r="R52" s="222"/>
      <c r="S52" s="288">
        <f>SUM(S4:S50)</f>
        <v>0</v>
      </c>
      <c r="T52" s="289" t="s">
        <v>11</v>
      </c>
      <c r="U52" s="289"/>
      <c r="V52" s="289"/>
      <c r="W52" s="288">
        <f>SUM(W4:W50)</f>
        <v>0</v>
      </c>
      <c r="AJ52" s="129"/>
      <c r="AK52" s="129"/>
    </row>
    <row r="53" ht="15.75" customHeight="1">
      <c r="A53" s="32"/>
      <c r="B53" s="32"/>
      <c r="C53" s="32"/>
      <c r="D53" s="32"/>
      <c r="E53" s="32"/>
      <c r="F53" s="32"/>
      <c r="AJ53" s="129"/>
      <c r="AK53" s="129"/>
    </row>
    <row r="54" ht="15.75" customHeight="1">
      <c r="A54" s="136"/>
      <c r="B54" s="136"/>
      <c r="C54" s="136"/>
      <c r="D54" s="136"/>
      <c r="E54" s="136"/>
      <c r="F54" s="136"/>
      <c r="AJ54" s="129"/>
      <c r="AK54" s="129"/>
    </row>
    <row r="55" ht="15.75" customHeight="1">
      <c r="A55" s="287" t="s">
        <v>1</v>
      </c>
      <c r="B55" s="5"/>
      <c r="C55" s="5"/>
      <c r="D55" s="5"/>
      <c r="E55" s="5"/>
      <c r="F55" s="5"/>
      <c r="AJ55" s="129"/>
      <c r="AK55" s="129"/>
    </row>
    <row r="56" ht="15.75" customHeight="1">
      <c r="A56" s="222"/>
      <c r="B56" s="288">
        <f>SUM(B4:B54)</f>
        <v>0</v>
      </c>
      <c r="C56" s="289" t="s">
        <v>11</v>
      </c>
      <c r="D56" s="289"/>
      <c r="E56" s="289"/>
      <c r="F56" s="288">
        <f>SUM(F4:F54)</f>
        <v>0</v>
      </c>
      <c r="AJ56" s="129"/>
      <c r="AK56" s="129"/>
    </row>
    <row r="57" ht="15.75" customHeight="1">
      <c r="AJ57" s="129"/>
      <c r="AK57" s="129"/>
    </row>
    <row r="58" ht="15.75" customHeight="1">
      <c r="AJ58" s="129"/>
      <c r="AK58" s="129"/>
    </row>
    <row r="59" ht="15.75" customHeight="1">
      <c r="AJ59" s="129"/>
      <c r="AK59" s="129"/>
    </row>
    <row r="60" ht="15.75" customHeight="1"/>
    <row r="61" ht="15.75" customHeight="1"/>
    <row r="62" ht="15.75" customHeight="1">
      <c r="G62" s="266"/>
      <c r="H62" s="266"/>
      <c r="I62" s="266"/>
      <c r="J62" s="120">
        <v>46073.0</v>
      </c>
      <c r="K62" s="5"/>
      <c r="L62" s="5"/>
      <c r="M62" s="5"/>
      <c r="N62" s="6"/>
      <c r="R62" s="71" t="s">
        <v>46</v>
      </c>
      <c r="S62" s="266"/>
      <c r="T62" s="266"/>
      <c r="U62" s="267"/>
      <c r="V62" s="267"/>
      <c r="W62" s="268" t="str">
        <f>E2</f>
        <v>Fredag</v>
      </c>
      <c r="X62" s="5"/>
      <c r="Y62" s="266"/>
      <c r="Z62" s="266"/>
      <c r="AA62" s="120">
        <f>TODAY()+1</f>
        <v>46174</v>
      </c>
      <c r="AB62" s="5"/>
      <c r="AC62" s="5"/>
      <c r="AD62" s="5"/>
      <c r="AE62" s="6"/>
      <c r="AG62" s="71" t="s">
        <v>47</v>
      </c>
      <c r="AH62" s="266"/>
      <c r="AI62" s="266"/>
      <c r="AJ62" s="267"/>
      <c r="AK62" s="267"/>
      <c r="AL62" s="268">
        <f>TODAY()+1</f>
        <v>46174</v>
      </c>
      <c r="AM62" s="5"/>
      <c r="AN62" s="266"/>
      <c r="AO62" s="266"/>
      <c r="AP62" s="120">
        <f>TODAY()+1</f>
        <v>46174</v>
      </c>
      <c r="AQ62" s="5"/>
      <c r="AR62" s="5"/>
      <c r="AS62" s="5"/>
      <c r="AT62" s="6"/>
    </row>
    <row r="63" ht="15.75" customHeight="1">
      <c r="A63" s="71" t="s">
        <v>48</v>
      </c>
      <c r="B63" s="266"/>
      <c r="C63" s="266"/>
      <c r="D63" s="267"/>
      <c r="E63" s="268" t="s">
        <v>44</v>
      </c>
      <c r="F63" s="5"/>
      <c r="G63" s="272"/>
      <c r="H63" s="273" t="s">
        <v>2</v>
      </c>
      <c r="I63" s="274"/>
      <c r="J63" s="274"/>
      <c r="K63" s="274"/>
      <c r="L63" s="274"/>
      <c r="M63" s="274"/>
      <c r="N63" s="275" t="s">
        <v>3</v>
      </c>
      <c r="R63" s="269" t="s">
        <v>2</v>
      </c>
      <c r="S63" s="270" t="s">
        <v>3</v>
      </c>
      <c r="T63" s="270" t="s">
        <v>4</v>
      </c>
      <c r="U63" s="270" t="s">
        <v>5</v>
      </c>
      <c r="V63" s="270" t="s">
        <v>6</v>
      </c>
      <c r="W63" s="271" t="s">
        <v>7</v>
      </c>
      <c r="X63" s="272"/>
      <c r="Y63" s="273" t="s">
        <v>2</v>
      </c>
      <c r="Z63" s="274"/>
      <c r="AA63" s="274"/>
      <c r="AB63" s="274"/>
      <c r="AC63" s="274"/>
      <c r="AD63" s="274"/>
      <c r="AE63" s="275" t="s">
        <v>3</v>
      </c>
      <c r="AG63" s="269" t="s">
        <v>2</v>
      </c>
      <c r="AH63" s="270" t="s">
        <v>3</v>
      </c>
      <c r="AI63" s="270" t="s">
        <v>4</v>
      </c>
      <c r="AJ63" s="270" t="s">
        <v>5</v>
      </c>
      <c r="AK63" s="270" t="s">
        <v>6</v>
      </c>
      <c r="AL63" s="271" t="s">
        <v>7</v>
      </c>
      <c r="AM63" s="272"/>
      <c r="AN63" s="273" t="s">
        <v>2</v>
      </c>
      <c r="AO63" s="274"/>
      <c r="AP63" s="274"/>
      <c r="AQ63" s="274"/>
      <c r="AR63" s="274"/>
      <c r="AS63" s="274"/>
      <c r="AT63" s="275" t="s">
        <v>3</v>
      </c>
    </row>
    <row r="64" ht="15.75" customHeight="1">
      <c r="A64" s="269" t="s">
        <v>2</v>
      </c>
      <c r="B64" s="270" t="s">
        <v>3</v>
      </c>
      <c r="C64" s="270" t="s">
        <v>4</v>
      </c>
      <c r="D64" s="270" t="s">
        <v>5</v>
      </c>
      <c r="E64" s="270" t="s">
        <v>6</v>
      </c>
      <c r="F64" s="271" t="s">
        <v>7</v>
      </c>
      <c r="H64" s="31"/>
      <c r="I64" s="31"/>
      <c r="J64" s="31"/>
      <c r="K64" s="31"/>
      <c r="L64" s="31"/>
      <c r="M64" s="31"/>
      <c r="N64" s="277">
        <f t="shared" ref="N64:N92" si="3">SUM(I64:M64)</f>
        <v>0</v>
      </c>
      <c r="Q64" s="290"/>
      <c r="R64" s="291"/>
      <c r="S64" s="291"/>
      <c r="T64" s="291"/>
      <c r="U64" s="291"/>
      <c r="V64" s="291"/>
      <c r="W64" s="291"/>
      <c r="X64" s="124"/>
      <c r="Y64" s="292"/>
      <c r="Z64" s="292"/>
      <c r="AA64" s="292"/>
      <c r="AB64" s="292"/>
      <c r="AC64" s="293"/>
      <c r="AD64" s="293"/>
      <c r="AE64" s="277">
        <f t="shared" ref="AE64:AE92" si="4">SUM(Z64:AD64)</f>
        <v>0</v>
      </c>
      <c r="AG64" s="294"/>
      <c r="AH64" s="294"/>
      <c r="AI64" s="294"/>
      <c r="AJ64" s="294"/>
      <c r="AK64" s="294"/>
      <c r="AL64" s="294"/>
      <c r="AN64" s="293"/>
      <c r="AO64" s="293"/>
      <c r="AP64" s="293"/>
      <c r="AQ64" s="293"/>
      <c r="AR64" s="293"/>
      <c r="AS64" s="293"/>
      <c r="AT64" s="277">
        <f t="shared" ref="AT64:AT92" si="5">SUM(AO64:AS64)</f>
        <v>0</v>
      </c>
    </row>
    <row r="65" ht="15.75" customHeight="1">
      <c r="A65" s="32"/>
      <c r="B65" s="32"/>
      <c r="C65" s="32"/>
      <c r="D65" s="32"/>
      <c r="E65" s="32"/>
      <c r="F65" s="32"/>
      <c r="H65" s="32"/>
      <c r="I65" s="31"/>
      <c r="J65" s="31"/>
      <c r="K65" s="31"/>
      <c r="L65" s="31"/>
      <c r="M65" s="31"/>
      <c r="N65" s="276">
        <f t="shared" si="3"/>
        <v>0</v>
      </c>
      <c r="R65" s="291"/>
      <c r="S65" s="291"/>
      <c r="T65" s="291"/>
      <c r="U65" s="291"/>
      <c r="V65" s="291"/>
      <c r="W65" s="291"/>
      <c r="X65" s="124"/>
      <c r="Y65" s="291"/>
      <c r="Z65" s="292"/>
      <c r="AA65" s="292"/>
      <c r="AB65" s="292"/>
      <c r="AC65" s="293"/>
      <c r="AD65" s="293"/>
      <c r="AE65" s="276">
        <f t="shared" si="4"/>
        <v>0</v>
      </c>
      <c r="AG65" s="294"/>
      <c r="AH65" s="294"/>
      <c r="AI65" s="294"/>
      <c r="AJ65" s="294"/>
      <c r="AK65" s="294"/>
      <c r="AL65" s="294"/>
      <c r="AN65" s="294"/>
      <c r="AO65" s="293"/>
      <c r="AP65" s="293"/>
      <c r="AQ65" s="293"/>
      <c r="AR65" s="293"/>
      <c r="AS65" s="293"/>
      <c r="AT65" s="276">
        <f t="shared" si="5"/>
        <v>0</v>
      </c>
    </row>
    <row r="66" ht="15.75" customHeight="1">
      <c r="A66" s="31"/>
      <c r="B66" s="31"/>
      <c r="C66" s="32"/>
      <c r="D66" s="32"/>
      <c r="E66" s="32"/>
      <c r="F66" s="32"/>
      <c r="H66" s="32"/>
      <c r="I66" s="31"/>
      <c r="J66" s="31"/>
      <c r="K66" s="31"/>
      <c r="L66" s="31"/>
      <c r="M66" s="31"/>
      <c r="N66" s="276">
        <f t="shared" si="3"/>
        <v>0</v>
      </c>
      <c r="R66" s="291"/>
      <c r="S66" s="291"/>
      <c r="T66" s="291"/>
      <c r="U66" s="291"/>
      <c r="V66" s="291"/>
      <c r="W66" s="291"/>
      <c r="X66" s="124"/>
      <c r="Y66" s="291"/>
      <c r="Z66" s="292"/>
      <c r="AA66" s="292"/>
      <c r="AB66" s="292"/>
      <c r="AC66" s="293"/>
      <c r="AD66" s="293"/>
      <c r="AE66" s="276">
        <f t="shared" si="4"/>
        <v>0</v>
      </c>
      <c r="AG66" s="294"/>
      <c r="AH66" s="294"/>
      <c r="AI66" s="294"/>
      <c r="AJ66" s="294"/>
      <c r="AK66" s="294"/>
      <c r="AL66" s="294"/>
      <c r="AN66" s="294"/>
      <c r="AO66" s="293"/>
      <c r="AP66" s="293"/>
      <c r="AQ66" s="293"/>
      <c r="AR66" s="293"/>
      <c r="AS66" s="293"/>
      <c r="AT66" s="276">
        <f t="shared" si="5"/>
        <v>0</v>
      </c>
    </row>
    <row r="67" ht="15.75" customHeight="1">
      <c r="A67" s="32"/>
      <c r="B67" s="32"/>
      <c r="C67" s="32"/>
      <c r="D67" s="32"/>
      <c r="E67" s="32"/>
      <c r="F67" s="32"/>
      <c r="H67" s="32"/>
      <c r="I67" s="31"/>
      <c r="J67" s="31"/>
      <c r="K67" s="31"/>
      <c r="L67" s="31"/>
      <c r="M67" s="31"/>
      <c r="N67" s="276">
        <f t="shared" si="3"/>
        <v>0</v>
      </c>
      <c r="R67" s="291"/>
      <c r="S67" s="291"/>
      <c r="T67" s="291"/>
      <c r="U67" s="291"/>
      <c r="V67" s="291"/>
      <c r="W67" s="291"/>
      <c r="X67" s="124"/>
      <c r="Y67" s="291"/>
      <c r="Z67" s="292"/>
      <c r="AA67" s="292"/>
      <c r="AB67" s="292"/>
      <c r="AC67" s="293"/>
      <c r="AD67" s="293"/>
      <c r="AE67" s="276">
        <f t="shared" si="4"/>
        <v>0</v>
      </c>
      <c r="AG67" s="294"/>
      <c r="AH67" s="294"/>
      <c r="AI67" s="294"/>
      <c r="AJ67" s="294"/>
      <c r="AK67" s="294"/>
      <c r="AL67" s="294"/>
      <c r="AN67" s="294"/>
      <c r="AO67" s="293"/>
      <c r="AP67" s="293"/>
      <c r="AQ67" s="293"/>
      <c r="AR67" s="293"/>
      <c r="AS67" s="293"/>
      <c r="AT67" s="276">
        <f t="shared" si="5"/>
        <v>0</v>
      </c>
    </row>
    <row r="68" ht="15.75" customHeight="1">
      <c r="A68" s="32"/>
      <c r="B68" s="32"/>
      <c r="C68" s="32"/>
      <c r="D68" s="32"/>
      <c r="E68" s="32"/>
      <c r="F68" s="32"/>
      <c r="H68" s="32"/>
      <c r="I68" s="31"/>
      <c r="J68" s="31"/>
      <c r="K68" s="31"/>
      <c r="L68" s="31"/>
      <c r="M68" s="31"/>
      <c r="N68" s="276">
        <f t="shared" si="3"/>
        <v>0</v>
      </c>
      <c r="R68" s="291"/>
      <c r="S68" s="291"/>
      <c r="T68" s="291"/>
      <c r="U68" s="291"/>
      <c r="V68" s="291"/>
      <c r="W68" s="291"/>
      <c r="X68" s="124"/>
      <c r="Y68" s="291"/>
      <c r="Z68" s="292"/>
      <c r="AA68" s="292"/>
      <c r="AB68" s="292"/>
      <c r="AC68" s="293"/>
      <c r="AD68" s="293"/>
      <c r="AE68" s="276">
        <f t="shared" si="4"/>
        <v>0</v>
      </c>
      <c r="AG68" s="294"/>
      <c r="AH68" s="294"/>
      <c r="AI68" s="294"/>
      <c r="AJ68" s="294"/>
      <c r="AK68" s="294"/>
      <c r="AL68" s="294"/>
      <c r="AN68" s="294"/>
      <c r="AO68" s="293"/>
      <c r="AP68" s="293"/>
      <c r="AQ68" s="293"/>
      <c r="AR68" s="293"/>
      <c r="AS68" s="293"/>
      <c r="AT68" s="276">
        <f t="shared" si="5"/>
        <v>0</v>
      </c>
    </row>
    <row r="69" ht="15.75" customHeight="1">
      <c r="A69" s="32"/>
      <c r="B69" s="32"/>
      <c r="C69" s="32"/>
      <c r="D69" s="32"/>
      <c r="E69" s="32"/>
      <c r="F69" s="32"/>
      <c r="H69" s="32"/>
      <c r="I69" s="31"/>
      <c r="J69" s="31"/>
      <c r="K69" s="31"/>
      <c r="L69" s="31"/>
      <c r="M69" s="31"/>
      <c r="N69" s="276">
        <f t="shared" si="3"/>
        <v>0</v>
      </c>
      <c r="R69" s="291"/>
      <c r="S69" s="291"/>
      <c r="T69" s="291"/>
      <c r="U69" s="291"/>
      <c r="V69" s="291"/>
      <c r="W69" s="291"/>
      <c r="X69" s="124"/>
      <c r="Y69" s="291"/>
      <c r="Z69" s="292"/>
      <c r="AA69" s="292"/>
      <c r="AB69" s="292"/>
      <c r="AC69" s="293"/>
      <c r="AD69" s="293"/>
      <c r="AE69" s="276">
        <f t="shared" si="4"/>
        <v>0</v>
      </c>
      <c r="AG69" s="294"/>
      <c r="AH69" s="294"/>
      <c r="AI69" s="294"/>
      <c r="AJ69" s="294"/>
      <c r="AK69" s="294"/>
      <c r="AL69" s="294"/>
      <c r="AN69" s="294"/>
      <c r="AO69" s="293"/>
      <c r="AP69" s="293"/>
      <c r="AQ69" s="293"/>
      <c r="AR69" s="293"/>
      <c r="AS69" s="293"/>
      <c r="AT69" s="276">
        <f t="shared" si="5"/>
        <v>0</v>
      </c>
    </row>
    <row r="70" ht="15.75" customHeight="1">
      <c r="A70" s="32"/>
      <c r="B70" s="31"/>
      <c r="C70" s="32"/>
      <c r="D70" s="32"/>
      <c r="E70" s="32"/>
      <c r="F70" s="32"/>
      <c r="H70" s="32"/>
      <c r="I70" s="31"/>
      <c r="J70" s="31"/>
      <c r="K70" s="31"/>
      <c r="L70" s="31"/>
      <c r="M70" s="31"/>
      <c r="N70" s="276">
        <f t="shared" si="3"/>
        <v>0</v>
      </c>
      <c r="R70" s="292"/>
      <c r="S70" s="292"/>
      <c r="T70" s="291"/>
      <c r="U70" s="291"/>
      <c r="V70" s="291"/>
      <c r="W70" s="291"/>
      <c r="X70" s="124"/>
      <c r="Y70" s="291"/>
      <c r="Z70" s="292"/>
      <c r="AA70" s="292"/>
      <c r="AB70" s="292"/>
      <c r="AC70" s="293"/>
      <c r="AD70" s="293"/>
      <c r="AE70" s="276">
        <f t="shared" si="4"/>
        <v>0</v>
      </c>
      <c r="AG70" s="293"/>
      <c r="AH70" s="293"/>
      <c r="AI70" s="294"/>
      <c r="AJ70" s="294"/>
      <c r="AK70" s="294"/>
      <c r="AL70" s="294"/>
      <c r="AN70" s="294"/>
      <c r="AO70" s="293"/>
      <c r="AP70" s="293"/>
      <c r="AQ70" s="293"/>
      <c r="AR70" s="293"/>
      <c r="AS70" s="293"/>
      <c r="AT70" s="276">
        <f t="shared" si="5"/>
        <v>0</v>
      </c>
    </row>
    <row r="71" ht="15.75" customHeight="1">
      <c r="A71" s="32"/>
      <c r="B71" s="32"/>
      <c r="C71" s="32"/>
      <c r="D71" s="32"/>
      <c r="E71" s="32"/>
      <c r="F71" s="32"/>
      <c r="H71" s="32"/>
      <c r="I71" s="31"/>
      <c r="J71" s="31"/>
      <c r="K71" s="31"/>
      <c r="L71" s="31"/>
      <c r="M71" s="31"/>
      <c r="N71" s="276">
        <f t="shared" si="3"/>
        <v>0</v>
      </c>
      <c r="R71" s="292"/>
      <c r="S71" s="292"/>
      <c r="T71" s="291"/>
      <c r="U71" s="291"/>
      <c r="V71" s="291"/>
      <c r="W71" s="291"/>
      <c r="X71" s="124"/>
      <c r="Y71" s="291"/>
      <c r="Z71" s="292"/>
      <c r="AA71" s="292"/>
      <c r="AB71" s="292"/>
      <c r="AC71" s="293"/>
      <c r="AD71" s="293"/>
      <c r="AE71" s="276">
        <f t="shared" si="4"/>
        <v>0</v>
      </c>
      <c r="AG71" s="293"/>
      <c r="AH71" s="293"/>
      <c r="AI71" s="294"/>
      <c r="AJ71" s="294"/>
      <c r="AK71" s="294"/>
      <c r="AL71" s="294"/>
      <c r="AN71" s="294"/>
      <c r="AO71" s="293"/>
      <c r="AP71" s="293"/>
      <c r="AQ71" s="293"/>
      <c r="AR71" s="293"/>
      <c r="AS71" s="293"/>
      <c r="AT71" s="276">
        <f t="shared" si="5"/>
        <v>0</v>
      </c>
    </row>
    <row r="72" ht="15.75" customHeight="1">
      <c r="A72" s="31"/>
      <c r="B72" s="31"/>
      <c r="C72" s="32"/>
      <c r="D72" s="32"/>
      <c r="E72" s="32"/>
      <c r="F72" s="32"/>
      <c r="H72" s="32"/>
      <c r="I72" s="31"/>
      <c r="J72" s="31"/>
      <c r="K72" s="31"/>
      <c r="L72" s="31"/>
      <c r="M72" s="31"/>
      <c r="N72" s="276">
        <f t="shared" si="3"/>
        <v>0</v>
      </c>
      <c r="R72" s="292"/>
      <c r="S72" s="292"/>
      <c r="T72" s="291"/>
      <c r="U72" s="291"/>
      <c r="V72" s="291"/>
      <c r="W72" s="291"/>
      <c r="X72" s="124"/>
      <c r="Y72" s="291"/>
      <c r="Z72" s="292"/>
      <c r="AA72" s="292"/>
      <c r="AB72" s="292"/>
      <c r="AC72" s="293"/>
      <c r="AD72" s="293"/>
      <c r="AE72" s="276">
        <f t="shared" si="4"/>
        <v>0</v>
      </c>
      <c r="AG72" s="293"/>
      <c r="AH72" s="293"/>
      <c r="AI72" s="294"/>
      <c r="AJ72" s="294"/>
      <c r="AK72" s="294"/>
      <c r="AL72" s="294"/>
      <c r="AN72" s="294"/>
      <c r="AO72" s="293"/>
      <c r="AP72" s="293"/>
      <c r="AQ72" s="293"/>
      <c r="AR72" s="293"/>
      <c r="AS72" s="293"/>
      <c r="AT72" s="276">
        <f t="shared" si="5"/>
        <v>0</v>
      </c>
    </row>
    <row r="73" ht="15.75" customHeight="1">
      <c r="A73" s="31"/>
      <c r="B73" s="31"/>
      <c r="C73" s="32"/>
      <c r="D73" s="32"/>
      <c r="E73" s="32"/>
      <c r="F73" s="32"/>
      <c r="H73" s="32"/>
      <c r="I73" s="31"/>
      <c r="J73" s="31"/>
      <c r="K73" s="31"/>
      <c r="L73" s="31"/>
      <c r="M73" s="31"/>
      <c r="N73" s="276">
        <f t="shared" si="3"/>
        <v>0</v>
      </c>
      <c r="R73" s="291"/>
      <c r="S73" s="291"/>
      <c r="T73" s="291"/>
      <c r="U73" s="291"/>
      <c r="V73" s="291"/>
      <c r="W73" s="291"/>
      <c r="X73" s="124"/>
      <c r="Y73" s="291"/>
      <c r="Z73" s="292"/>
      <c r="AA73" s="292"/>
      <c r="AB73" s="292"/>
      <c r="AC73" s="293"/>
      <c r="AD73" s="293"/>
      <c r="AE73" s="276">
        <f t="shared" si="4"/>
        <v>0</v>
      </c>
      <c r="AG73" s="294"/>
      <c r="AH73" s="294"/>
      <c r="AI73" s="294"/>
      <c r="AJ73" s="294"/>
      <c r="AK73" s="294"/>
      <c r="AL73" s="294"/>
      <c r="AN73" s="294"/>
      <c r="AO73" s="293"/>
      <c r="AP73" s="293"/>
      <c r="AQ73" s="293"/>
      <c r="AR73" s="293"/>
      <c r="AS73" s="293"/>
      <c r="AT73" s="276">
        <f t="shared" si="5"/>
        <v>0</v>
      </c>
    </row>
    <row r="74" ht="15.75" customHeight="1">
      <c r="A74" s="32"/>
      <c r="B74" s="32"/>
      <c r="C74" s="32"/>
      <c r="D74" s="32"/>
      <c r="E74" s="32"/>
      <c r="F74" s="32"/>
      <c r="H74" s="32"/>
      <c r="I74" s="31"/>
      <c r="J74" s="31"/>
      <c r="K74" s="31"/>
      <c r="L74" s="31"/>
      <c r="M74" s="31"/>
      <c r="N74" s="276">
        <f t="shared" si="3"/>
        <v>0</v>
      </c>
      <c r="R74" s="291"/>
      <c r="S74" s="291"/>
      <c r="T74" s="294"/>
      <c r="U74" s="294"/>
      <c r="V74" s="294"/>
      <c r="W74" s="294"/>
      <c r="Y74" s="294"/>
      <c r="Z74" s="293"/>
      <c r="AA74" s="293"/>
      <c r="AB74" s="293"/>
      <c r="AC74" s="293"/>
      <c r="AD74" s="293"/>
      <c r="AE74" s="276">
        <f t="shared" si="4"/>
        <v>0</v>
      </c>
      <c r="AG74" s="294"/>
      <c r="AH74" s="294"/>
      <c r="AI74" s="294"/>
      <c r="AJ74" s="294"/>
      <c r="AK74" s="294"/>
      <c r="AL74" s="294"/>
      <c r="AN74" s="294"/>
      <c r="AO74" s="293"/>
      <c r="AP74" s="293"/>
      <c r="AQ74" s="293"/>
      <c r="AR74" s="293"/>
      <c r="AS74" s="293"/>
      <c r="AT74" s="276">
        <f t="shared" si="5"/>
        <v>0</v>
      </c>
    </row>
    <row r="75" ht="15.75" customHeight="1">
      <c r="A75" s="32"/>
      <c r="B75" s="32"/>
      <c r="C75" s="32"/>
      <c r="D75" s="32"/>
      <c r="E75" s="32"/>
      <c r="F75" s="32"/>
      <c r="H75" s="32"/>
      <c r="I75" s="31"/>
      <c r="J75" s="31"/>
      <c r="K75" s="31"/>
      <c r="L75" s="31"/>
      <c r="M75" s="31"/>
      <c r="N75" s="276">
        <f t="shared" si="3"/>
        <v>0</v>
      </c>
      <c r="Q75" s="295"/>
      <c r="R75" s="291"/>
      <c r="S75" s="291"/>
      <c r="T75" s="291"/>
      <c r="U75" s="291"/>
      <c r="V75" s="294"/>
      <c r="W75" s="294"/>
      <c r="Y75" s="294"/>
      <c r="Z75" s="293"/>
      <c r="AA75" s="293"/>
      <c r="AB75" s="293"/>
      <c r="AC75" s="293"/>
      <c r="AD75" s="293"/>
      <c r="AE75" s="276">
        <f t="shared" si="4"/>
        <v>0</v>
      </c>
      <c r="AG75" s="294"/>
      <c r="AH75" s="294"/>
      <c r="AI75" s="294"/>
      <c r="AJ75" s="294"/>
      <c r="AK75" s="294"/>
      <c r="AL75" s="294"/>
      <c r="AN75" s="294"/>
      <c r="AO75" s="293"/>
      <c r="AP75" s="293"/>
      <c r="AQ75" s="293"/>
      <c r="AR75" s="293"/>
      <c r="AS75" s="293"/>
      <c r="AT75" s="276">
        <f t="shared" si="5"/>
        <v>0</v>
      </c>
    </row>
    <row r="76" ht="15.75" customHeight="1">
      <c r="A76" s="32"/>
      <c r="B76" s="32"/>
      <c r="C76" s="32"/>
      <c r="D76" s="32"/>
      <c r="E76" s="32"/>
      <c r="F76" s="32"/>
      <c r="H76" s="32"/>
      <c r="I76" s="31"/>
      <c r="J76" s="31"/>
      <c r="K76" s="31"/>
      <c r="L76" s="31"/>
      <c r="M76" s="31"/>
      <c r="N76" s="276">
        <f t="shared" si="3"/>
        <v>0</v>
      </c>
      <c r="Q76" s="51"/>
      <c r="R76" s="291"/>
      <c r="S76" s="291"/>
      <c r="T76" s="291"/>
      <c r="U76" s="291"/>
      <c r="V76" s="294"/>
      <c r="W76" s="294"/>
      <c r="Y76" s="294"/>
      <c r="Z76" s="293"/>
      <c r="AA76" s="293"/>
      <c r="AB76" s="293"/>
      <c r="AC76" s="293"/>
      <c r="AD76" s="293"/>
      <c r="AE76" s="276">
        <f t="shared" si="4"/>
        <v>0</v>
      </c>
      <c r="AG76" s="294"/>
      <c r="AH76" s="294"/>
      <c r="AI76" s="294"/>
      <c r="AJ76" s="294"/>
      <c r="AK76" s="294"/>
      <c r="AL76" s="294"/>
      <c r="AN76" s="294"/>
      <c r="AO76" s="293"/>
      <c r="AP76" s="293"/>
      <c r="AQ76" s="293"/>
      <c r="AR76" s="293"/>
      <c r="AS76" s="293"/>
      <c r="AT76" s="276">
        <f t="shared" si="5"/>
        <v>0</v>
      </c>
    </row>
    <row r="77" ht="15.75" customHeight="1">
      <c r="A77" s="32"/>
      <c r="B77" s="32"/>
      <c r="C77" s="32"/>
      <c r="D77" s="32"/>
      <c r="E77" s="32"/>
      <c r="F77" s="32"/>
      <c r="H77" s="32"/>
      <c r="I77" s="31"/>
      <c r="J77" s="31"/>
      <c r="K77" s="31"/>
      <c r="L77" s="31"/>
      <c r="M77" s="31"/>
      <c r="N77" s="276">
        <f t="shared" si="3"/>
        <v>0</v>
      </c>
      <c r="R77" s="291"/>
      <c r="S77" s="291"/>
      <c r="T77" s="294"/>
      <c r="U77" s="294"/>
      <c r="V77" s="294"/>
      <c r="W77" s="294"/>
      <c r="Y77" s="294"/>
      <c r="Z77" s="293"/>
      <c r="AA77" s="293"/>
      <c r="AB77" s="293"/>
      <c r="AC77" s="293"/>
      <c r="AD77" s="293"/>
      <c r="AE77" s="276">
        <f t="shared" si="4"/>
        <v>0</v>
      </c>
      <c r="AG77" s="294"/>
      <c r="AH77" s="294"/>
      <c r="AI77" s="294"/>
      <c r="AJ77" s="294"/>
      <c r="AK77" s="294"/>
      <c r="AL77" s="294"/>
      <c r="AN77" s="294"/>
      <c r="AO77" s="293"/>
      <c r="AP77" s="293"/>
      <c r="AQ77" s="293"/>
      <c r="AR77" s="293"/>
      <c r="AS77" s="293"/>
      <c r="AT77" s="276">
        <f t="shared" si="5"/>
        <v>0</v>
      </c>
    </row>
    <row r="78" ht="15.75" customHeight="1">
      <c r="A78" s="32"/>
      <c r="B78" s="32"/>
      <c r="C78" s="32"/>
      <c r="D78" s="32"/>
      <c r="E78" s="32"/>
      <c r="F78" s="32"/>
      <c r="H78" s="32"/>
      <c r="I78" s="31"/>
      <c r="J78" s="31"/>
      <c r="K78" s="31"/>
      <c r="L78" s="31"/>
      <c r="M78" s="31"/>
      <c r="N78" s="276">
        <f t="shared" si="3"/>
        <v>0</v>
      </c>
      <c r="R78" s="291"/>
      <c r="S78" s="291"/>
      <c r="T78" s="294"/>
      <c r="U78" s="294"/>
      <c r="V78" s="294"/>
      <c r="W78" s="294"/>
      <c r="Y78" s="294"/>
      <c r="Z78" s="293"/>
      <c r="AA78" s="293"/>
      <c r="AB78" s="293"/>
      <c r="AC78" s="293"/>
      <c r="AD78" s="293"/>
      <c r="AE78" s="276">
        <f t="shared" si="4"/>
        <v>0</v>
      </c>
      <c r="AG78" s="294"/>
      <c r="AH78" s="294"/>
      <c r="AI78" s="294"/>
      <c r="AJ78" s="294"/>
      <c r="AK78" s="294"/>
      <c r="AL78" s="294"/>
      <c r="AN78" s="294"/>
      <c r="AO78" s="293"/>
      <c r="AP78" s="293"/>
      <c r="AQ78" s="293"/>
      <c r="AR78" s="293"/>
      <c r="AS78" s="293"/>
      <c r="AT78" s="276">
        <f t="shared" si="5"/>
        <v>0</v>
      </c>
    </row>
    <row r="79" ht="15.75" customHeight="1">
      <c r="A79" s="32"/>
      <c r="B79" s="32"/>
      <c r="C79" s="32"/>
      <c r="D79" s="32"/>
      <c r="E79" s="32"/>
      <c r="F79" s="32"/>
      <c r="H79" s="32"/>
      <c r="I79" s="31"/>
      <c r="J79" s="31"/>
      <c r="K79" s="31"/>
      <c r="L79" s="31"/>
      <c r="M79" s="31"/>
      <c r="N79" s="276">
        <f t="shared" si="3"/>
        <v>0</v>
      </c>
      <c r="R79" s="294"/>
      <c r="S79" s="294"/>
      <c r="T79" s="294"/>
      <c r="U79" s="294"/>
      <c r="V79" s="294"/>
      <c r="W79" s="294"/>
      <c r="Y79" s="294"/>
      <c r="Z79" s="293"/>
      <c r="AA79" s="293"/>
      <c r="AB79" s="293"/>
      <c r="AC79" s="293"/>
      <c r="AD79" s="293"/>
      <c r="AE79" s="276">
        <f t="shared" si="4"/>
        <v>0</v>
      </c>
      <c r="AG79" s="294"/>
      <c r="AH79" s="294"/>
      <c r="AI79" s="294"/>
      <c r="AJ79" s="294"/>
      <c r="AK79" s="294"/>
      <c r="AL79" s="294"/>
      <c r="AN79" s="294"/>
      <c r="AO79" s="293"/>
      <c r="AP79" s="293"/>
      <c r="AQ79" s="293"/>
      <c r="AR79" s="293"/>
      <c r="AS79" s="293"/>
      <c r="AT79" s="276">
        <f t="shared" si="5"/>
        <v>0</v>
      </c>
    </row>
    <row r="80" ht="15.75" customHeight="1">
      <c r="A80" s="32"/>
      <c r="B80" s="32"/>
      <c r="C80" s="32"/>
      <c r="D80" s="32"/>
      <c r="E80" s="32"/>
      <c r="F80" s="32"/>
      <c r="H80" s="32"/>
      <c r="I80" s="31"/>
      <c r="J80" s="31"/>
      <c r="K80" s="31"/>
      <c r="L80" s="31"/>
      <c r="M80" s="31"/>
      <c r="N80" s="276">
        <f t="shared" si="3"/>
        <v>0</v>
      </c>
      <c r="R80" s="294"/>
      <c r="S80" s="294"/>
      <c r="T80" s="294"/>
      <c r="U80" s="294"/>
      <c r="V80" s="294"/>
      <c r="W80" s="294"/>
      <c r="Y80" s="294"/>
      <c r="Z80" s="293"/>
      <c r="AA80" s="293"/>
      <c r="AB80" s="293"/>
      <c r="AC80" s="293"/>
      <c r="AD80" s="293"/>
      <c r="AE80" s="276">
        <f t="shared" si="4"/>
        <v>0</v>
      </c>
      <c r="AG80" s="294"/>
      <c r="AH80" s="294"/>
      <c r="AI80" s="294"/>
      <c r="AJ80" s="294"/>
      <c r="AK80" s="294"/>
      <c r="AL80" s="294"/>
      <c r="AN80" s="294"/>
      <c r="AO80" s="293"/>
      <c r="AP80" s="293"/>
      <c r="AQ80" s="293"/>
      <c r="AR80" s="293"/>
      <c r="AS80" s="293"/>
      <c r="AT80" s="276">
        <f t="shared" si="5"/>
        <v>0</v>
      </c>
    </row>
    <row r="81" ht="15.75" customHeight="1">
      <c r="A81" s="32"/>
      <c r="B81" s="32"/>
      <c r="C81" s="32"/>
      <c r="D81" s="32"/>
      <c r="E81" s="32"/>
      <c r="F81" s="32"/>
      <c r="H81" s="32"/>
      <c r="I81" s="31"/>
      <c r="J81" s="31"/>
      <c r="K81" s="31"/>
      <c r="L81" s="31"/>
      <c r="M81" s="31"/>
      <c r="N81" s="276">
        <f t="shared" si="3"/>
        <v>0</v>
      </c>
      <c r="R81" s="293"/>
      <c r="S81" s="293"/>
      <c r="T81" s="294"/>
      <c r="U81" s="294"/>
      <c r="V81" s="294"/>
      <c r="W81" s="294"/>
      <c r="Y81" s="294"/>
      <c r="Z81" s="293"/>
      <c r="AA81" s="293"/>
      <c r="AB81" s="293"/>
      <c r="AC81" s="293"/>
      <c r="AD81" s="293"/>
      <c r="AE81" s="276">
        <f t="shared" si="4"/>
        <v>0</v>
      </c>
      <c r="AG81" s="293"/>
      <c r="AH81" s="293"/>
      <c r="AI81" s="294"/>
      <c r="AJ81" s="294"/>
      <c r="AK81" s="294"/>
      <c r="AL81" s="294"/>
      <c r="AN81" s="294"/>
      <c r="AO81" s="293"/>
      <c r="AP81" s="293"/>
      <c r="AQ81" s="293"/>
      <c r="AR81" s="293"/>
      <c r="AS81" s="293"/>
      <c r="AT81" s="276">
        <f t="shared" si="5"/>
        <v>0</v>
      </c>
    </row>
    <row r="82" ht="15.75" customHeight="1">
      <c r="A82" s="31"/>
      <c r="B82" s="31"/>
      <c r="C82" s="32"/>
      <c r="D82" s="32"/>
      <c r="E82" s="32"/>
      <c r="F82" s="32"/>
      <c r="H82" s="32"/>
      <c r="I82" s="31"/>
      <c r="J82" s="31"/>
      <c r="K82" s="31"/>
      <c r="L82" s="31"/>
      <c r="M82" s="31"/>
      <c r="N82" s="276">
        <f t="shared" si="3"/>
        <v>0</v>
      </c>
      <c r="R82" s="293"/>
      <c r="S82" s="293"/>
      <c r="T82" s="294"/>
      <c r="U82" s="294"/>
      <c r="V82" s="294"/>
      <c r="W82" s="294"/>
      <c r="Y82" s="294"/>
      <c r="Z82" s="293"/>
      <c r="AA82" s="293"/>
      <c r="AB82" s="293"/>
      <c r="AC82" s="293"/>
      <c r="AD82" s="293"/>
      <c r="AE82" s="276">
        <f t="shared" si="4"/>
        <v>0</v>
      </c>
      <c r="AG82" s="293"/>
      <c r="AH82" s="293"/>
      <c r="AI82" s="294"/>
      <c r="AJ82" s="294"/>
      <c r="AK82" s="294"/>
      <c r="AL82" s="294"/>
      <c r="AN82" s="294"/>
      <c r="AO82" s="293"/>
      <c r="AP82" s="293"/>
      <c r="AQ82" s="293"/>
      <c r="AR82" s="293"/>
      <c r="AS82" s="293"/>
      <c r="AT82" s="276">
        <f t="shared" si="5"/>
        <v>0</v>
      </c>
    </row>
    <row r="83" ht="15.75" customHeight="1">
      <c r="A83" s="31"/>
      <c r="B83" s="31"/>
      <c r="C83" s="32"/>
      <c r="D83" s="32"/>
      <c r="E83" s="32"/>
      <c r="F83" s="32"/>
      <c r="H83" s="32"/>
      <c r="I83" s="31"/>
      <c r="J83" s="31"/>
      <c r="K83" s="31"/>
      <c r="L83" s="31"/>
      <c r="M83" s="31"/>
      <c r="N83" s="276">
        <f t="shared" si="3"/>
        <v>0</v>
      </c>
      <c r="R83" s="294"/>
      <c r="S83" s="294"/>
      <c r="T83" s="294"/>
      <c r="U83" s="294"/>
      <c r="V83" s="294"/>
      <c r="W83" s="294"/>
      <c r="Y83" s="294"/>
      <c r="Z83" s="293"/>
      <c r="AA83" s="293"/>
      <c r="AB83" s="293"/>
      <c r="AC83" s="293"/>
      <c r="AD83" s="293"/>
      <c r="AE83" s="276">
        <f t="shared" si="4"/>
        <v>0</v>
      </c>
      <c r="AG83" s="294"/>
      <c r="AH83" s="294"/>
      <c r="AI83" s="294"/>
      <c r="AJ83" s="294"/>
      <c r="AK83" s="294"/>
      <c r="AL83" s="294"/>
      <c r="AN83" s="294"/>
      <c r="AO83" s="293"/>
      <c r="AP83" s="293"/>
      <c r="AQ83" s="293"/>
      <c r="AR83" s="293"/>
      <c r="AS83" s="293"/>
      <c r="AT83" s="276">
        <f t="shared" si="5"/>
        <v>0</v>
      </c>
    </row>
    <row r="84" ht="15.75" customHeight="1">
      <c r="A84" s="32"/>
      <c r="B84" s="32"/>
      <c r="C84" s="32"/>
      <c r="D84" s="32"/>
      <c r="E84" s="32"/>
      <c r="F84" s="32"/>
      <c r="H84" s="32"/>
      <c r="I84" s="31"/>
      <c r="J84" s="31"/>
      <c r="K84" s="31"/>
      <c r="L84" s="31"/>
      <c r="M84" s="31"/>
      <c r="N84" s="276">
        <f t="shared" si="3"/>
        <v>0</v>
      </c>
      <c r="R84" s="294"/>
      <c r="S84" s="294"/>
      <c r="T84" s="294"/>
      <c r="U84" s="294"/>
      <c r="V84" s="294"/>
      <c r="W84" s="294"/>
      <c r="Y84" s="294"/>
      <c r="Z84" s="293"/>
      <c r="AA84" s="293"/>
      <c r="AB84" s="293"/>
      <c r="AC84" s="293"/>
      <c r="AD84" s="293"/>
      <c r="AE84" s="276">
        <f t="shared" si="4"/>
        <v>0</v>
      </c>
      <c r="AG84" s="294"/>
      <c r="AH84" s="294"/>
      <c r="AI84" s="294"/>
      <c r="AJ84" s="294"/>
      <c r="AK84" s="294"/>
      <c r="AL84" s="294"/>
      <c r="AN84" s="294"/>
      <c r="AO84" s="293"/>
      <c r="AP84" s="293"/>
      <c r="AQ84" s="293"/>
      <c r="AR84" s="293"/>
      <c r="AS84" s="293"/>
      <c r="AT84" s="276">
        <f t="shared" si="5"/>
        <v>0</v>
      </c>
    </row>
    <row r="85" ht="15.75" customHeight="1">
      <c r="A85" s="32"/>
      <c r="B85" s="32"/>
      <c r="C85" s="32"/>
      <c r="D85" s="32"/>
      <c r="E85" s="32"/>
      <c r="F85" s="32"/>
      <c r="H85" s="32"/>
      <c r="I85" s="31"/>
      <c r="J85" s="31"/>
      <c r="K85" s="31"/>
      <c r="L85" s="31"/>
      <c r="M85" s="31"/>
      <c r="N85" s="276">
        <f t="shared" si="3"/>
        <v>0</v>
      </c>
      <c r="R85" s="294"/>
      <c r="S85" s="294"/>
      <c r="T85" s="294"/>
      <c r="U85" s="294"/>
      <c r="V85" s="294"/>
      <c r="W85" s="294"/>
      <c r="Y85" s="294"/>
      <c r="Z85" s="293"/>
      <c r="AA85" s="293"/>
      <c r="AB85" s="293"/>
      <c r="AC85" s="293"/>
      <c r="AD85" s="293"/>
      <c r="AE85" s="276">
        <f t="shared" si="4"/>
        <v>0</v>
      </c>
      <c r="AG85" s="294"/>
      <c r="AH85" s="294"/>
      <c r="AI85" s="294"/>
      <c r="AJ85" s="294"/>
      <c r="AK85" s="294"/>
      <c r="AL85" s="294"/>
      <c r="AN85" s="294"/>
      <c r="AO85" s="293"/>
      <c r="AP85" s="293"/>
      <c r="AQ85" s="293"/>
      <c r="AR85" s="293"/>
      <c r="AS85" s="293"/>
      <c r="AT85" s="276">
        <f t="shared" si="5"/>
        <v>0</v>
      </c>
    </row>
    <row r="86" ht="15.75" customHeight="1">
      <c r="A86" s="32"/>
      <c r="B86" s="32"/>
      <c r="C86" s="32"/>
      <c r="D86" s="32"/>
      <c r="E86" s="32"/>
      <c r="F86" s="32"/>
      <c r="H86" s="32"/>
      <c r="I86" s="31"/>
      <c r="J86" s="31"/>
      <c r="K86" s="31"/>
      <c r="L86" s="31"/>
      <c r="M86" s="31"/>
      <c r="N86" s="276">
        <f t="shared" si="3"/>
        <v>0</v>
      </c>
      <c r="R86" s="294"/>
      <c r="S86" s="294"/>
      <c r="T86" s="294"/>
      <c r="U86" s="294"/>
      <c r="V86" s="294"/>
      <c r="W86" s="294"/>
      <c r="Y86" s="294"/>
      <c r="Z86" s="293"/>
      <c r="AA86" s="293"/>
      <c r="AB86" s="293"/>
      <c r="AC86" s="293"/>
      <c r="AD86" s="293"/>
      <c r="AE86" s="276">
        <f t="shared" si="4"/>
        <v>0</v>
      </c>
      <c r="AG86" s="294"/>
      <c r="AH86" s="294"/>
      <c r="AI86" s="294"/>
      <c r="AJ86" s="294"/>
      <c r="AK86" s="294"/>
      <c r="AL86" s="294"/>
      <c r="AN86" s="294"/>
      <c r="AO86" s="293"/>
      <c r="AP86" s="293"/>
      <c r="AQ86" s="293"/>
      <c r="AR86" s="293"/>
      <c r="AS86" s="293"/>
      <c r="AT86" s="276">
        <f t="shared" si="5"/>
        <v>0</v>
      </c>
    </row>
    <row r="87" ht="15.75" customHeight="1">
      <c r="A87" s="32"/>
      <c r="B87" s="32"/>
      <c r="C87" s="32"/>
      <c r="D87" s="32"/>
      <c r="E87" s="32"/>
      <c r="F87" s="32"/>
      <c r="H87" s="32"/>
      <c r="I87" s="31"/>
      <c r="J87" s="31"/>
      <c r="K87" s="31"/>
      <c r="L87" s="31"/>
      <c r="M87" s="31"/>
      <c r="N87" s="276">
        <f t="shared" si="3"/>
        <v>0</v>
      </c>
      <c r="R87" s="294"/>
      <c r="S87" s="294"/>
      <c r="T87" s="294"/>
      <c r="U87" s="294"/>
      <c r="V87" s="294"/>
      <c r="W87" s="294"/>
      <c r="Y87" s="294"/>
      <c r="Z87" s="293"/>
      <c r="AA87" s="293"/>
      <c r="AB87" s="293"/>
      <c r="AC87" s="293"/>
      <c r="AD87" s="293"/>
      <c r="AE87" s="276">
        <f t="shared" si="4"/>
        <v>0</v>
      </c>
      <c r="AG87" s="294"/>
      <c r="AH87" s="294"/>
      <c r="AI87" s="294"/>
      <c r="AJ87" s="294"/>
      <c r="AK87" s="294"/>
      <c r="AL87" s="294"/>
      <c r="AN87" s="294"/>
      <c r="AO87" s="293"/>
      <c r="AP87" s="293"/>
      <c r="AQ87" s="293"/>
      <c r="AR87" s="293"/>
      <c r="AS87" s="293"/>
      <c r="AT87" s="276">
        <f t="shared" si="5"/>
        <v>0</v>
      </c>
    </row>
    <row r="88" ht="15.75" customHeight="1">
      <c r="A88" s="32"/>
      <c r="B88" s="32"/>
      <c r="C88" s="32"/>
      <c r="D88" s="32"/>
      <c r="E88" s="32"/>
      <c r="F88" s="32"/>
      <c r="H88" s="32"/>
      <c r="I88" s="31"/>
      <c r="J88" s="31"/>
      <c r="K88" s="31"/>
      <c r="L88" s="31"/>
      <c r="M88" s="31"/>
      <c r="N88" s="276">
        <f t="shared" si="3"/>
        <v>0</v>
      </c>
      <c r="R88" s="294"/>
      <c r="S88" s="294"/>
      <c r="T88" s="294"/>
      <c r="U88" s="294"/>
      <c r="V88" s="294"/>
      <c r="W88" s="294"/>
      <c r="Y88" s="294"/>
      <c r="Z88" s="293"/>
      <c r="AA88" s="293"/>
      <c r="AB88" s="293"/>
      <c r="AC88" s="293"/>
      <c r="AD88" s="293"/>
      <c r="AE88" s="276">
        <f t="shared" si="4"/>
        <v>0</v>
      </c>
      <c r="AG88" s="294"/>
      <c r="AH88" s="294"/>
      <c r="AI88" s="294"/>
      <c r="AJ88" s="294"/>
      <c r="AK88" s="294"/>
      <c r="AL88" s="294"/>
      <c r="AN88" s="294"/>
      <c r="AO88" s="293"/>
      <c r="AP88" s="293"/>
      <c r="AQ88" s="293"/>
      <c r="AR88" s="293"/>
      <c r="AS88" s="293"/>
      <c r="AT88" s="276">
        <f t="shared" si="5"/>
        <v>0</v>
      </c>
    </row>
    <row r="89" ht="15.75" customHeight="1">
      <c r="A89" s="32"/>
      <c r="B89" s="32"/>
      <c r="C89" s="32"/>
      <c r="D89" s="32"/>
      <c r="E89" s="32"/>
      <c r="F89" s="32"/>
      <c r="H89" s="32"/>
      <c r="I89" s="31"/>
      <c r="J89" s="31"/>
      <c r="K89" s="31"/>
      <c r="L89" s="31"/>
      <c r="M89" s="31"/>
      <c r="N89" s="276">
        <f t="shared" si="3"/>
        <v>0</v>
      </c>
      <c r="R89" s="294"/>
      <c r="S89" s="294"/>
      <c r="T89" s="294"/>
      <c r="U89" s="294"/>
      <c r="V89" s="294"/>
      <c r="W89" s="294"/>
      <c r="Y89" s="294"/>
      <c r="Z89" s="293"/>
      <c r="AA89" s="293"/>
      <c r="AB89" s="293"/>
      <c r="AC89" s="293"/>
      <c r="AD89" s="293"/>
      <c r="AE89" s="276">
        <f t="shared" si="4"/>
        <v>0</v>
      </c>
      <c r="AG89" s="294"/>
      <c r="AH89" s="294"/>
      <c r="AI89" s="294"/>
      <c r="AJ89" s="294"/>
      <c r="AK89" s="294"/>
      <c r="AL89" s="294"/>
      <c r="AN89" s="294"/>
      <c r="AO89" s="293"/>
      <c r="AP89" s="293"/>
      <c r="AQ89" s="293"/>
      <c r="AR89" s="293"/>
      <c r="AS89" s="293"/>
      <c r="AT89" s="276">
        <f t="shared" si="5"/>
        <v>0</v>
      </c>
    </row>
    <row r="90" ht="15.75" customHeight="1">
      <c r="A90" s="32"/>
      <c r="B90" s="32"/>
      <c r="C90" s="32"/>
      <c r="D90" s="32"/>
      <c r="E90" s="32"/>
      <c r="F90" s="32"/>
      <c r="H90" s="32"/>
      <c r="I90" s="31"/>
      <c r="J90" s="31"/>
      <c r="K90" s="31"/>
      <c r="L90" s="31"/>
      <c r="M90" s="31"/>
      <c r="N90" s="276">
        <f t="shared" si="3"/>
        <v>0</v>
      </c>
      <c r="R90" s="294"/>
      <c r="S90" s="294"/>
      <c r="T90" s="294"/>
      <c r="U90" s="294"/>
      <c r="V90" s="294"/>
      <c r="W90" s="294"/>
      <c r="Y90" s="294"/>
      <c r="Z90" s="293"/>
      <c r="AA90" s="293"/>
      <c r="AB90" s="293"/>
      <c r="AC90" s="293"/>
      <c r="AD90" s="293"/>
      <c r="AE90" s="276">
        <f t="shared" si="4"/>
        <v>0</v>
      </c>
      <c r="AG90" s="294"/>
      <c r="AH90" s="294"/>
      <c r="AI90" s="294"/>
      <c r="AJ90" s="294"/>
      <c r="AK90" s="294"/>
      <c r="AL90" s="294"/>
      <c r="AN90" s="294"/>
      <c r="AO90" s="293"/>
      <c r="AP90" s="293"/>
      <c r="AQ90" s="293"/>
      <c r="AR90" s="293"/>
      <c r="AS90" s="293"/>
      <c r="AT90" s="276">
        <f t="shared" si="5"/>
        <v>0</v>
      </c>
    </row>
    <row r="91" ht="15.75" customHeight="1">
      <c r="A91" s="32"/>
      <c r="B91" s="32"/>
      <c r="C91" s="32"/>
      <c r="D91" s="32"/>
      <c r="E91" s="32"/>
      <c r="F91" s="32"/>
      <c r="H91" s="32"/>
      <c r="I91" s="32"/>
      <c r="J91" s="32"/>
      <c r="K91" s="32"/>
      <c r="L91" s="32"/>
      <c r="M91" s="32"/>
      <c r="N91" s="276">
        <f t="shared" si="3"/>
        <v>0</v>
      </c>
      <c r="R91" s="294"/>
      <c r="S91" s="294"/>
      <c r="T91" s="294"/>
      <c r="U91" s="294"/>
      <c r="V91" s="294"/>
      <c r="W91" s="294"/>
      <c r="Y91" s="294"/>
      <c r="Z91" s="294"/>
      <c r="AA91" s="294"/>
      <c r="AB91" s="294"/>
      <c r="AC91" s="294"/>
      <c r="AD91" s="294"/>
      <c r="AE91" s="276">
        <f t="shared" si="4"/>
        <v>0</v>
      </c>
      <c r="AG91" s="294"/>
      <c r="AH91" s="294"/>
      <c r="AI91" s="294"/>
      <c r="AJ91" s="294"/>
      <c r="AK91" s="294"/>
      <c r="AL91" s="294"/>
      <c r="AN91" s="294"/>
      <c r="AO91" s="294"/>
      <c r="AP91" s="294"/>
      <c r="AQ91" s="294"/>
      <c r="AR91" s="294"/>
      <c r="AS91" s="294"/>
      <c r="AT91" s="276">
        <f t="shared" si="5"/>
        <v>0</v>
      </c>
    </row>
    <row r="92" ht="15.75" customHeight="1">
      <c r="A92" s="32"/>
      <c r="B92" s="32"/>
      <c r="C92" s="32"/>
      <c r="D92" s="32"/>
      <c r="E92" s="32"/>
      <c r="F92" s="32"/>
      <c r="H92" s="32"/>
      <c r="I92" s="32"/>
      <c r="J92" s="32"/>
      <c r="K92" s="32"/>
      <c r="L92" s="32"/>
      <c r="M92" s="32"/>
      <c r="N92" s="276">
        <f t="shared" si="3"/>
        <v>0</v>
      </c>
      <c r="R92" s="294"/>
      <c r="S92" s="294"/>
      <c r="T92" s="294"/>
      <c r="U92" s="294"/>
      <c r="V92" s="294"/>
      <c r="W92" s="294"/>
      <c r="Y92" s="294"/>
      <c r="Z92" s="294"/>
      <c r="AA92" s="294"/>
      <c r="AB92" s="294"/>
      <c r="AC92" s="294"/>
      <c r="AD92" s="294"/>
      <c r="AE92" s="276">
        <f t="shared" si="4"/>
        <v>0</v>
      </c>
      <c r="AG92" s="294"/>
      <c r="AH92" s="294"/>
      <c r="AI92" s="294"/>
      <c r="AJ92" s="294"/>
      <c r="AK92" s="294"/>
      <c r="AL92" s="294"/>
      <c r="AN92" s="294"/>
      <c r="AO92" s="294"/>
      <c r="AP92" s="294"/>
      <c r="AQ92" s="294"/>
      <c r="AR92" s="294"/>
      <c r="AS92" s="294"/>
      <c r="AT92" s="276">
        <f t="shared" si="5"/>
        <v>0</v>
      </c>
    </row>
    <row r="93" ht="15.75" customHeight="1">
      <c r="A93" s="32"/>
      <c r="B93" s="32"/>
      <c r="C93" s="32"/>
      <c r="D93" s="32"/>
      <c r="E93" s="32"/>
      <c r="F93" s="32"/>
      <c r="H93" s="281" t="s">
        <v>21</v>
      </c>
      <c r="I93" s="106"/>
      <c r="J93" s="106"/>
      <c r="K93" s="106"/>
      <c r="L93" s="106"/>
      <c r="M93" s="106"/>
      <c r="N93" s="107"/>
      <c r="R93" s="294"/>
      <c r="S93" s="294"/>
      <c r="T93" s="294"/>
      <c r="U93" s="294"/>
      <c r="V93" s="294"/>
      <c r="W93" s="294"/>
      <c r="Y93" s="281" t="s">
        <v>21</v>
      </c>
      <c r="Z93" s="106"/>
      <c r="AA93" s="106"/>
      <c r="AB93" s="106"/>
      <c r="AC93" s="106"/>
      <c r="AD93" s="106"/>
      <c r="AE93" s="107"/>
      <c r="AG93" s="294"/>
      <c r="AH93" s="294"/>
      <c r="AI93" s="294"/>
      <c r="AJ93" s="294"/>
      <c r="AK93" s="294"/>
      <c r="AL93" s="294"/>
      <c r="AN93" s="281" t="s">
        <v>21</v>
      </c>
      <c r="AO93" s="106"/>
      <c r="AP93" s="106"/>
      <c r="AQ93" s="106"/>
      <c r="AR93" s="106"/>
      <c r="AS93" s="106"/>
      <c r="AT93" s="107"/>
    </row>
    <row r="94" ht="15.75" customHeight="1">
      <c r="A94" s="32"/>
      <c r="B94" s="32"/>
      <c r="C94" s="32"/>
      <c r="D94" s="32"/>
      <c r="E94" s="32"/>
      <c r="F94" s="32"/>
      <c r="H94" s="276"/>
      <c r="I94" s="276"/>
      <c r="J94" s="276"/>
      <c r="K94" s="276"/>
      <c r="L94" s="276"/>
      <c r="M94" s="281">
        <f>SUM(N64:N92)</f>
        <v>0</v>
      </c>
      <c r="N94" s="107"/>
      <c r="R94" s="294"/>
      <c r="S94" s="294"/>
      <c r="T94" s="294"/>
      <c r="U94" s="294"/>
      <c r="V94" s="294"/>
      <c r="W94" s="294"/>
      <c r="Y94" s="276"/>
      <c r="Z94" s="276"/>
      <c r="AA94" s="276"/>
      <c r="AB94" s="276"/>
      <c r="AC94" s="276"/>
      <c r="AD94" s="281">
        <f>SUM(AE64:AE92)</f>
        <v>0</v>
      </c>
      <c r="AE94" s="107"/>
      <c r="AG94" s="294"/>
      <c r="AH94" s="294"/>
      <c r="AI94" s="294"/>
      <c r="AJ94" s="294"/>
      <c r="AK94" s="294"/>
      <c r="AL94" s="294"/>
      <c r="AN94" s="276"/>
      <c r="AO94" s="276"/>
      <c r="AP94" s="276"/>
      <c r="AQ94" s="276"/>
      <c r="AR94" s="276"/>
      <c r="AS94" s="281">
        <f>SUM(AT64:AT92)</f>
        <v>0</v>
      </c>
      <c r="AT94" s="107"/>
    </row>
    <row r="95" ht="15.75" customHeight="1">
      <c r="A95" s="32"/>
      <c r="B95" s="32"/>
      <c r="C95" s="32"/>
      <c r="D95" s="32"/>
      <c r="E95" s="32"/>
      <c r="F95" s="32"/>
      <c r="R95" s="294"/>
      <c r="S95" s="294"/>
      <c r="T95" s="294"/>
      <c r="U95" s="294"/>
      <c r="V95" s="294"/>
      <c r="W95" s="294"/>
      <c r="AG95" s="294"/>
      <c r="AH95" s="294"/>
      <c r="AI95" s="294"/>
      <c r="AJ95" s="294"/>
      <c r="AK95" s="294"/>
      <c r="AL95" s="294"/>
    </row>
    <row r="96" ht="15.75" customHeight="1">
      <c r="A96" s="32"/>
      <c r="B96" s="32"/>
      <c r="C96" s="32"/>
      <c r="D96" s="32"/>
      <c r="E96" s="32"/>
      <c r="F96" s="32"/>
      <c r="H96" s="282" t="s">
        <v>22</v>
      </c>
      <c r="I96" s="64"/>
      <c r="J96" s="64"/>
      <c r="K96" s="64"/>
      <c r="L96" s="64"/>
      <c r="M96" s="64"/>
      <c r="N96" s="64"/>
      <c r="R96" s="294"/>
      <c r="S96" s="294"/>
      <c r="T96" s="294"/>
      <c r="U96" s="294"/>
      <c r="V96" s="294"/>
      <c r="W96" s="294"/>
      <c r="Y96" s="282" t="s">
        <v>22</v>
      </c>
      <c r="Z96" s="64"/>
      <c r="AA96" s="64"/>
      <c r="AB96" s="64"/>
      <c r="AC96" s="64"/>
      <c r="AD96" s="64"/>
      <c r="AE96" s="64"/>
      <c r="AG96" s="294"/>
      <c r="AH96" s="294"/>
      <c r="AI96" s="294"/>
      <c r="AJ96" s="294"/>
      <c r="AK96" s="294"/>
      <c r="AL96" s="294"/>
      <c r="AN96" s="282" t="s">
        <v>22</v>
      </c>
      <c r="AO96" s="64"/>
      <c r="AP96" s="64"/>
      <c r="AQ96" s="64"/>
      <c r="AR96" s="64"/>
      <c r="AS96" s="64"/>
      <c r="AT96" s="64"/>
    </row>
    <row r="97" ht="15.75" customHeight="1">
      <c r="A97" s="32"/>
      <c r="B97" s="32"/>
      <c r="C97" s="32"/>
      <c r="D97" s="32"/>
      <c r="E97" s="32"/>
      <c r="F97" s="32"/>
      <c r="R97" s="294"/>
      <c r="S97" s="294"/>
      <c r="T97" s="294"/>
      <c r="U97" s="294"/>
      <c r="V97" s="294"/>
      <c r="W97" s="294"/>
      <c r="AG97" s="294"/>
      <c r="AH97" s="294"/>
      <c r="AI97" s="294"/>
      <c r="AJ97" s="294"/>
      <c r="AK97" s="294"/>
      <c r="AL97" s="294"/>
    </row>
    <row r="98" ht="15.75" customHeight="1">
      <c r="A98" s="32"/>
      <c r="B98" s="32"/>
      <c r="C98" s="32"/>
      <c r="D98" s="32"/>
      <c r="E98" s="32"/>
      <c r="F98" s="32"/>
      <c r="R98" s="294"/>
      <c r="S98" s="294"/>
      <c r="T98" s="294"/>
      <c r="U98" s="294"/>
      <c r="V98" s="294"/>
      <c r="W98" s="294"/>
      <c r="AG98" s="294"/>
      <c r="AH98" s="294"/>
      <c r="AI98" s="294"/>
      <c r="AJ98" s="294"/>
      <c r="AK98" s="294"/>
      <c r="AL98" s="294"/>
    </row>
    <row r="99" ht="15.75" customHeight="1">
      <c r="A99" s="32"/>
      <c r="B99" s="32"/>
      <c r="C99" s="32"/>
      <c r="D99" s="32"/>
      <c r="E99" s="32"/>
      <c r="F99" s="32"/>
      <c r="R99" s="294"/>
      <c r="S99" s="294"/>
      <c r="T99" s="294"/>
      <c r="U99" s="294"/>
      <c r="V99" s="294"/>
      <c r="W99" s="294"/>
      <c r="AG99" s="294"/>
      <c r="AH99" s="294"/>
      <c r="AI99" s="294"/>
      <c r="AJ99" s="294"/>
      <c r="AK99" s="294"/>
      <c r="AL99" s="294"/>
    </row>
    <row r="100" ht="15.75" customHeight="1">
      <c r="A100" s="32"/>
      <c r="B100" s="32"/>
      <c r="C100" s="32"/>
      <c r="D100" s="32"/>
      <c r="E100" s="32"/>
      <c r="F100" s="32"/>
      <c r="R100" s="294"/>
      <c r="S100" s="294"/>
      <c r="T100" s="294"/>
      <c r="U100" s="294"/>
      <c r="V100" s="294"/>
      <c r="W100" s="294"/>
      <c r="AG100" s="294"/>
      <c r="AH100" s="294"/>
      <c r="AI100" s="294"/>
      <c r="AJ100" s="294"/>
      <c r="AK100" s="294"/>
      <c r="AL100" s="294"/>
    </row>
    <row r="101" ht="15.75" customHeight="1">
      <c r="A101" s="32"/>
      <c r="B101" s="32"/>
      <c r="C101" s="32"/>
      <c r="D101" s="32"/>
      <c r="E101" s="32"/>
      <c r="F101" s="32"/>
      <c r="R101" s="294"/>
      <c r="S101" s="294"/>
      <c r="T101" s="294"/>
      <c r="U101" s="294"/>
      <c r="V101" s="294"/>
      <c r="W101" s="294"/>
      <c r="AG101" s="294"/>
      <c r="AH101" s="294"/>
      <c r="AI101" s="294"/>
      <c r="AJ101" s="294"/>
      <c r="AK101" s="294"/>
      <c r="AL101" s="294"/>
    </row>
    <row r="102" ht="15.75" customHeight="1">
      <c r="A102" s="32"/>
      <c r="B102" s="32"/>
      <c r="C102" s="32"/>
      <c r="D102" s="32"/>
      <c r="E102" s="32"/>
      <c r="F102" s="32"/>
      <c r="R102" s="294"/>
      <c r="S102" s="294"/>
      <c r="T102" s="294"/>
      <c r="U102" s="294"/>
      <c r="V102" s="294"/>
      <c r="W102" s="294"/>
      <c r="AG102" s="294"/>
      <c r="AH102" s="294"/>
      <c r="AI102" s="294"/>
      <c r="AJ102" s="294"/>
      <c r="AK102" s="294"/>
      <c r="AL102" s="294"/>
    </row>
    <row r="103" ht="15.75" customHeight="1">
      <c r="A103" s="32"/>
      <c r="B103" s="32"/>
      <c r="C103" s="32"/>
      <c r="D103" s="32"/>
      <c r="E103" s="32"/>
      <c r="F103" s="32"/>
      <c r="R103" s="294"/>
      <c r="S103" s="294"/>
      <c r="T103" s="294"/>
      <c r="U103" s="294"/>
      <c r="V103" s="294"/>
      <c r="W103" s="294"/>
      <c r="AG103" s="294"/>
      <c r="AH103" s="294"/>
      <c r="AI103" s="294"/>
      <c r="AJ103" s="294"/>
      <c r="AK103" s="294"/>
      <c r="AL103" s="294"/>
    </row>
    <row r="104" ht="15.75" customHeight="1">
      <c r="A104" s="32"/>
      <c r="B104" s="32"/>
      <c r="C104" s="32"/>
      <c r="D104" s="32"/>
      <c r="E104" s="32"/>
      <c r="F104" s="32"/>
      <c r="R104" s="294"/>
      <c r="S104" s="294"/>
      <c r="T104" s="294"/>
      <c r="U104" s="294"/>
      <c r="V104" s="294"/>
      <c r="W104" s="294"/>
      <c r="AG104" s="294"/>
      <c r="AH104" s="294"/>
      <c r="AI104" s="294"/>
      <c r="AJ104" s="294"/>
      <c r="AK104" s="294"/>
      <c r="AL104" s="294"/>
    </row>
    <row r="105" ht="15.75" customHeight="1">
      <c r="A105" s="32"/>
      <c r="B105" s="32"/>
      <c r="C105" s="32"/>
      <c r="D105" s="32"/>
      <c r="E105" s="32"/>
      <c r="F105" s="32"/>
      <c r="H105" s="283" t="s">
        <v>1</v>
      </c>
      <c r="I105" s="12"/>
      <c r="J105" s="12"/>
      <c r="K105" s="12"/>
      <c r="L105" s="12"/>
      <c r="M105" s="12"/>
      <c r="N105" s="13"/>
      <c r="R105" s="294"/>
      <c r="S105" s="294"/>
      <c r="T105" s="294"/>
      <c r="U105" s="294"/>
      <c r="V105" s="294"/>
      <c r="W105" s="294"/>
      <c r="Y105" s="283" t="s">
        <v>1</v>
      </c>
      <c r="Z105" s="12"/>
      <c r="AA105" s="12"/>
      <c r="AB105" s="12"/>
      <c r="AC105" s="12"/>
      <c r="AD105" s="12"/>
      <c r="AE105" s="13"/>
      <c r="AG105" s="294"/>
      <c r="AH105" s="294"/>
      <c r="AI105" s="294"/>
      <c r="AJ105" s="294"/>
      <c r="AK105" s="294"/>
      <c r="AL105" s="294"/>
      <c r="AN105" s="283" t="s">
        <v>1</v>
      </c>
      <c r="AO105" s="12"/>
      <c r="AP105" s="12"/>
      <c r="AQ105" s="12"/>
      <c r="AR105" s="12"/>
      <c r="AS105" s="12"/>
      <c r="AT105" s="13"/>
    </row>
    <row r="106" ht="15.75" customHeight="1">
      <c r="A106" s="32"/>
      <c r="B106" s="32"/>
      <c r="C106" s="32"/>
      <c r="D106" s="32"/>
      <c r="E106" s="32"/>
      <c r="F106" s="32"/>
      <c r="H106" s="63"/>
      <c r="I106" s="64"/>
      <c r="J106" s="64"/>
      <c r="K106" s="64"/>
      <c r="L106" s="64"/>
      <c r="M106" s="64"/>
      <c r="N106" s="65"/>
      <c r="R106" s="294"/>
      <c r="S106" s="294"/>
      <c r="T106" s="294"/>
      <c r="U106" s="294"/>
      <c r="V106" s="294"/>
      <c r="W106" s="294"/>
      <c r="Y106" s="63"/>
      <c r="Z106" s="64"/>
      <c r="AA106" s="64"/>
      <c r="AB106" s="64"/>
      <c r="AC106" s="64"/>
      <c r="AD106" s="64"/>
      <c r="AE106" s="65"/>
      <c r="AG106" s="294"/>
      <c r="AH106" s="294"/>
      <c r="AI106" s="294"/>
      <c r="AJ106" s="294"/>
      <c r="AK106" s="294"/>
      <c r="AL106" s="294"/>
      <c r="AN106" s="63"/>
      <c r="AO106" s="64"/>
      <c r="AP106" s="64"/>
      <c r="AQ106" s="64"/>
      <c r="AR106" s="64"/>
      <c r="AS106" s="64"/>
      <c r="AT106" s="65"/>
    </row>
    <row r="107" ht="15.75" customHeight="1">
      <c r="A107" s="32"/>
      <c r="B107" s="32"/>
      <c r="C107" s="32"/>
      <c r="D107" s="32"/>
      <c r="E107" s="32"/>
      <c r="F107" s="32"/>
      <c r="R107" s="294"/>
      <c r="S107" s="294"/>
      <c r="T107" s="294"/>
      <c r="U107" s="294"/>
      <c r="V107" s="294"/>
      <c r="W107" s="294"/>
      <c r="AG107" s="294"/>
      <c r="AH107" s="294"/>
      <c r="AI107" s="294"/>
      <c r="AJ107" s="294"/>
      <c r="AK107" s="294"/>
      <c r="AL107" s="294"/>
    </row>
    <row r="108" ht="15.75" customHeight="1">
      <c r="A108" s="32"/>
      <c r="B108" s="32"/>
      <c r="C108" s="32"/>
      <c r="D108" s="32"/>
      <c r="E108" s="32"/>
      <c r="F108" s="32"/>
      <c r="H108" s="284" t="s">
        <v>3</v>
      </c>
      <c r="I108" s="222" t="s">
        <v>9</v>
      </c>
      <c r="J108" s="5"/>
      <c r="K108" s="6"/>
      <c r="L108" s="222" t="s">
        <v>10</v>
      </c>
      <c r="M108" s="5"/>
      <c r="N108" s="6"/>
      <c r="R108" s="294"/>
      <c r="S108" s="294"/>
      <c r="T108" s="294"/>
      <c r="U108" s="294"/>
      <c r="V108" s="294"/>
      <c r="W108" s="294"/>
      <c r="Y108" s="284" t="s">
        <v>3</v>
      </c>
      <c r="Z108" s="222" t="s">
        <v>9</v>
      </c>
      <c r="AA108" s="5"/>
      <c r="AB108" s="6"/>
      <c r="AC108" s="222" t="s">
        <v>10</v>
      </c>
      <c r="AD108" s="5"/>
      <c r="AE108" s="6"/>
      <c r="AG108" s="294"/>
      <c r="AH108" s="294"/>
      <c r="AI108" s="294"/>
      <c r="AJ108" s="294"/>
      <c r="AK108" s="294"/>
      <c r="AL108" s="294"/>
      <c r="AN108" s="284" t="s">
        <v>3</v>
      </c>
      <c r="AO108" s="222" t="s">
        <v>9</v>
      </c>
      <c r="AP108" s="5"/>
      <c r="AQ108" s="6"/>
      <c r="AR108" s="222" t="s">
        <v>10</v>
      </c>
      <c r="AS108" s="5"/>
      <c r="AT108" s="6"/>
    </row>
    <row r="109" ht="15.75" customHeight="1">
      <c r="A109" s="32"/>
      <c r="B109" s="32"/>
      <c r="C109" s="32"/>
      <c r="D109" s="32"/>
      <c r="E109" s="32"/>
      <c r="F109" s="32"/>
      <c r="H109" s="285">
        <f>SUM(B113,M94)</f>
        <v>0</v>
      </c>
      <c r="I109" s="286">
        <f>COUNT(F65:F111,I64:M92)</f>
        <v>0</v>
      </c>
      <c r="J109" s="12"/>
      <c r="K109" s="13"/>
      <c r="L109" s="286">
        <f>SUM(F65:F111)+COUNT(I64:M92)</f>
        <v>0</v>
      </c>
      <c r="M109" s="12"/>
      <c r="N109" s="13"/>
      <c r="R109" s="294"/>
      <c r="S109" s="294"/>
      <c r="T109" s="294"/>
      <c r="U109" s="294"/>
      <c r="V109" s="294"/>
      <c r="W109" s="294"/>
      <c r="Y109" s="285">
        <f>SUM(S112,AD94)</f>
        <v>0</v>
      </c>
      <c r="Z109" s="286">
        <f>COUNT(W64:W110,Z64:AD92)</f>
        <v>0</v>
      </c>
      <c r="AA109" s="12"/>
      <c r="AB109" s="13"/>
      <c r="AC109" s="286">
        <f>SUM(W64:W110)+COUNT(Z64:AD92)</f>
        <v>0</v>
      </c>
      <c r="AD109" s="12"/>
      <c r="AE109" s="13"/>
      <c r="AG109" s="294"/>
      <c r="AH109" s="294"/>
      <c r="AI109" s="294"/>
      <c r="AJ109" s="294"/>
      <c r="AK109" s="294"/>
      <c r="AL109" s="294"/>
      <c r="AN109" s="285">
        <f>SUM(AH112,AS94)</f>
        <v>0</v>
      </c>
      <c r="AO109" s="286">
        <f>COUNT(AL64:AL110,AO64:AS92)</f>
        <v>0</v>
      </c>
      <c r="AP109" s="12"/>
      <c r="AQ109" s="13"/>
      <c r="AR109" s="286">
        <f>SUM(AL64:AL110)+COUNT(AO64:AS92)</f>
        <v>0</v>
      </c>
      <c r="AS109" s="12"/>
      <c r="AT109" s="13"/>
    </row>
    <row r="110" ht="15.75" customHeight="1">
      <c r="A110" s="32"/>
      <c r="B110" s="32"/>
      <c r="C110" s="32"/>
      <c r="D110" s="32"/>
      <c r="E110" s="32"/>
      <c r="F110" s="32"/>
      <c r="H110" s="69"/>
      <c r="I110" s="63"/>
      <c r="J110" s="64"/>
      <c r="K110" s="65"/>
      <c r="L110" s="63"/>
      <c r="M110" s="64"/>
      <c r="N110" s="65"/>
      <c r="R110" s="296"/>
      <c r="S110" s="296"/>
      <c r="T110" s="296"/>
      <c r="U110" s="296"/>
      <c r="V110" s="296"/>
      <c r="W110" s="296"/>
      <c r="Y110" s="69"/>
      <c r="Z110" s="63"/>
      <c r="AA110" s="64"/>
      <c r="AB110" s="65"/>
      <c r="AC110" s="63"/>
      <c r="AD110" s="64"/>
      <c r="AE110" s="65"/>
      <c r="AG110" s="296"/>
      <c r="AH110" s="296"/>
      <c r="AI110" s="296"/>
      <c r="AJ110" s="296"/>
      <c r="AK110" s="296"/>
      <c r="AL110" s="296"/>
      <c r="AN110" s="69"/>
      <c r="AO110" s="63"/>
      <c r="AP110" s="64"/>
      <c r="AQ110" s="65"/>
      <c r="AR110" s="63"/>
      <c r="AS110" s="64"/>
      <c r="AT110" s="65"/>
    </row>
    <row r="111" ht="15.75" customHeight="1">
      <c r="A111" s="136"/>
      <c r="B111" s="136"/>
      <c r="C111" s="136"/>
      <c r="D111" s="136"/>
      <c r="E111" s="136"/>
      <c r="F111" s="136"/>
      <c r="R111" s="287" t="s">
        <v>1</v>
      </c>
      <c r="S111" s="5"/>
      <c r="T111" s="5"/>
      <c r="U111" s="5"/>
      <c r="V111" s="5"/>
      <c r="W111" s="5"/>
      <c r="AG111" s="287" t="s">
        <v>1</v>
      </c>
      <c r="AH111" s="5"/>
      <c r="AI111" s="5"/>
      <c r="AJ111" s="5"/>
      <c r="AK111" s="5"/>
      <c r="AL111" s="5"/>
    </row>
    <row r="112" ht="15.75" customHeight="1">
      <c r="A112" s="287" t="s">
        <v>1</v>
      </c>
      <c r="B112" s="5"/>
      <c r="C112" s="5"/>
      <c r="D112" s="5"/>
      <c r="E112" s="5"/>
      <c r="F112" s="5"/>
      <c r="R112" s="222"/>
      <c r="S112" s="288">
        <f>SUM(S64:S110)</f>
        <v>0</v>
      </c>
      <c r="T112" s="289" t="s">
        <v>11</v>
      </c>
      <c r="U112" s="289"/>
      <c r="V112" s="289"/>
      <c r="W112" s="288">
        <f>SUM(W64:W110)</f>
        <v>0</v>
      </c>
      <c r="AG112" s="222"/>
      <c r="AH112" s="288">
        <f>SUM(AH64:AH110)</f>
        <v>0</v>
      </c>
      <c r="AI112" s="289" t="s">
        <v>11</v>
      </c>
      <c r="AJ112" s="289"/>
      <c r="AK112" s="289"/>
      <c r="AL112" s="288">
        <f>SUM(AL64:AL110)</f>
        <v>0</v>
      </c>
    </row>
    <row r="113" ht="15.75" customHeight="1">
      <c r="A113" s="222"/>
      <c r="B113" s="288">
        <f>SUM(B65:B111)</f>
        <v>0</v>
      </c>
      <c r="C113" s="289" t="s">
        <v>11</v>
      </c>
      <c r="D113" s="289"/>
      <c r="E113" s="289"/>
      <c r="F113" s="288">
        <f>SUM(F65:F111)</f>
        <v>0</v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AC108:AE108"/>
    <mergeCell ref="AO108:AQ108"/>
    <mergeCell ref="H96:N96"/>
    <mergeCell ref="Y96:AE96"/>
    <mergeCell ref="AN96:AT96"/>
    <mergeCell ref="H105:N106"/>
    <mergeCell ref="Y105:AE106"/>
    <mergeCell ref="AN105:AT106"/>
    <mergeCell ref="I108:K108"/>
    <mergeCell ref="AR108:AT108"/>
    <mergeCell ref="AC109:AE110"/>
    <mergeCell ref="AN109:AN110"/>
    <mergeCell ref="AO109:AQ110"/>
    <mergeCell ref="AR109:AT110"/>
    <mergeCell ref="AG111:AL111"/>
    <mergeCell ref="H109:H110"/>
    <mergeCell ref="A112:F112"/>
    <mergeCell ref="L108:N108"/>
    <mergeCell ref="Z108:AB108"/>
    <mergeCell ref="I109:K110"/>
    <mergeCell ref="L109:N110"/>
    <mergeCell ref="Y109:Y110"/>
    <mergeCell ref="Z109:AB110"/>
    <mergeCell ref="R111:W111"/>
    <mergeCell ref="E2:F2"/>
    <mergeCell ref="J2:N2"/>
    <mergeCell ref="V2:W2"/>
    <mergeCell ref="AA2:AE2"/>
    <mergeCell ref="AI4:AK6"/>
    <mergeCell ref="AK7:AK8"/>
    <mergeCell ref="A9:B9"/>
    <mergeCell ref="Y33:AE33"/>
    <mergeCell ref="AD34:AE34"/>
    <mergeCell ref="AI7:AJ8"/>
    <mergeCell ref="AI9:AJ10"/>
    <mergeCell ref="AK9:AK10"/>
    <mergeCell ref="AI11:AJ12"/>
    <mergeCell ref="AK11:AK12"/>
    <mergeCell ref="H33:N33"/>
    <mergeCell ref="M34:N34"/>
    <mergeCell ref="H36:N36"/>
    <mergeCell ref="Y36:AE36"/>
    <mergeCell ref="H45:N46"/>
    <mergeCell ref="Y45:AE46"/>
    <mergeCell ref="L48:N48"/>
    <mergeCell ref="Z48:AB48"/>
    <mergeCell ref="AC48:AE48"/>
    <mergeCell ref="H49:H50"/>
    <mergeCell ref="A55:F55"/>
    <mergeCell ref="J62:N62"/>
    <mergeCell ref="W62:X62"/>
    <mergeCell ref="AA62:AE62"/>
    <mergeCell ref="AL62:AM62"/>
    <mergeCell ref="AP62:AT62"/>
    <mergeCell ref="E63:F63"/>
    <mergeCell ref="I48:K48"/>
    <mergeCell ref="I49:K50"/>
    <mergeCell ref="L49:N50"/>
    <mergeCell ref="Y49:Y50"/>
    <mergeCell ref="Z49:AB50"/>
    <mergeCell ref="AC49:AE50"/>
    <mergeCell ref="R51:W51"/>
    <mergeCell ref="Q75:Q76"/>
    <mergeCell ref="H93:N93"/>
    <mergeCell ref="Y93:AE93"/>
    <mergeCell ref="AN93:AT93"/>
    <mergeCell ref="M94:N94"/>
    <mergeCell ref="AD94:AE94"/>
    <mergeCell ref="AS94:AT94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3" width="5.71"/>
    <col customWidth="1" min="4" max="4" width="7.14"/>
    <col customWidth="1" min="5" max="6" width="5.71"/>
    <col customWidth="1" min="7" max="8" width="8.71"/>
    <col customWidth="1" min="9" max="13" width="3.71"/>
    <col customWidth="1" min="14" max="14" width="8.71"/>
  </cols>
  <sheetData>
    <row r="1" ht="20.25" customHeight="1">
      <c r="A1" s="297" t="s">
        <v>45</v>
      </c>
      <c r="B1" s="298"/>
      <c r="C1" s="298"/>
      <c r="D1" s="299"/>
      <c r="E1" s="299"/>
      <c r="F1" s="299"/>
      <c r="G1" s="298"/>
      <c r="H1" s="298"/>
      <c r="I1" s="298"/>
      <c r="J1" s="300">
        <f>TODAY()</f>
        <v>46173</v>
      </c>
      <c r="K1" s="5"/>
      <c r="L1" s="5"/>
      <c r="M1" s="5"/>
      <c r="N1" s="6"/>
    </row>
    <row r="2" ht="15.0" customHeight="1">
      <c r="A2" s="269" t="s">
        <v>2</v>
      </c>
      <c r="B2" s="270" t="s">
        <v>3</v>
      </c>
      <c r="C2" s="270" t="s">
        <v>4</v>
      </c>
      <c r="D2" s="270" t="s">
        <v>5</v>
      </c>
      <c r="E2" s="270" t="s">
        <v>6</v>
      </c>
      <c r="F2" s="271" t="s">
        <v>7</v>
      </c>
      <c r="G2" s="272"/>
      <c r="H2" s="273" t="s">
        <v>2</v>
      </c>
      <c r="I2" s="274"/>
      <c r="J2" s="274"/>
      <c r="K2" s="274"/>
      <c r="L2" s="274"/>
      <c r="M2" s="274"/>
      <c r="N2" s="275" t="s">
        <v>3</v>
      </c>
    </row>
    <row r="3" ht="11.25" customHeight="1">
      <c r="A3" s="110"/>
      <c r="B3" s="110"/>
      <c r="C3" s="110"/>
      <c r="D3" s="110"/>
      <c r="E3" s="110"/>
      <c r="F3" s="110"/>
      <c r="H3" s="301"/>
      <c r="I3" s="301"/>
      <c r="J3" s="301"/>
      <c r="K3" s="301"/>
      <c r="L3" s="301"/>
      <c r="M3" s="301"/>
      <c r="N3" s="302">
        <f t="shared" ref="N3:N31" si="1">SUM(I3:M3)</f>
        <v>0</v>
      </c>
    </row>
    <row r="4" ht="11.25" customHeight="1">
      <c r="A4" s="301"/>
      <c r="B4" s="301"/>
      <c r="C4" s="110"/>
      <c r="D4" s="110"/>
      <c r="E4" s="110"/>
      <c r="F4" s="110"/>
      <c r="H4" s="110"/>
      <c r="I4" s="301"/>
      <c r="J4" s="301"/>
      <c r="K4" s="301"/>
      <c r="L4" s="301"/>
      <c r="M4" s="301"/>
      <c r="N4" s="303">
        <f t="shared" si="1"/>
        <v>0</v>
      </c>
    </row>
    <row r="5" ht="11.25" customHeight="1">
      <c r="A5" s="110"/>
      <c r="B5" s="110"/>
      <c r="C5" s="110"/>
      <c r="D5" s="110"/>
      <c r="E5" s="110"/>
      <c r="F5" s="110"/>
      <c r="H5" s="110"/>
      <c r="I5" s="301"/>
      <c r="J5" s="301"/>
      <c r="K5" s="301"/>
      <c r="L5" s="301"/>
      <c r="M5" s="301"/>
      <c r="N5" s="303">
        <f t="shared" si="1"/>
        <v>0</v>
      </c>
    </row>
    <row r="6" ht="11.25" customHeight="1">
      <c r="A6" s="110"/>
      <c r="B6" s="110"/>
      <c r="C6" s="110"/>
      <c r="D6" s="110"/>
      <c r="E6" s="110"/>
      <c r="F6" s="110"/>
      <c r="H6" s="110"/>
      <c r="I6" s="301"/>
      <c r="J6" s="301"/>
      <c r="K6" s="301"/>
      <c r="L6" s="301"/>
      <c r="M6" s="301"/>
      <c r="N6" s="303">
        <f t="shared" si="1"/>
        <v>0</v>
      </c>
    </row>
    <row r="7" ht="11.25" customHeight="1">
      <c r="A7" s="110"/>
      <c r="B7" s="110"/>
      <c r="C7" s="110"/>
      <c r="D7" s="110"/>
      <c r="E7" s="110"/>
      <c r="F7" s="110"/>
      <c r="H7" s="110"/>
      <c r="I7" s="301"/>
      <c r="J7" s="301"/>
      <c r="K7" s="301"/>
      <c r="L7" s="301"/>
      <c r="M7" s="301"/>
      <c r="N7" s="303">
        <f t="shared" si="1"/>
        <v>0</v>
      </c>
    </row>
    <row r="8" ht="11.25" customHeight="1">
      <c r="A8" s="110"/>
      <c r="B8" s="301"/>
      <c r="C8" s="110"/>
      <c r="D8" s="110"/>
      <c r="E8" s="110"/>
      <c r="F8" s="110"/>
      <c r="H8" s="110"/>
      <c r="I8" s="301"/>
      <c r="J8" s="301"/>
      <c r="K8" s="301"/>
      <c r="L8" s="301"/>
      <c r="M8" s="301"/>
      <c r="N8" s="303">
        <f t="shared" si="1"/>
        <v>0</v>
      </c>
    </row>
    <row r="9" ht="11.25" customHeight="1">
      <c r="A9" s="110"/>
      <c r="B9" s="110"/>
      <c r="C9" s="110"/>
      <c r="D9" s="110"/>
      <c r="E9" s="110"/>
      <c r="F9" s="110"/>
      <c r="H9" s="110"/>
      <c r="I9" s="301"/>
      <c r="J9" s="301"/>
      <c r="K9" s="301"/>
      <c r="L9" s="301"/>
      <c r="M9" s="301"/>
      <c r="N9" s="303">
        <f t="shared" si="1"/>
        <v>0</v>
      </c>
    </row>
    <row r="10" ht="11.25" customHeight="1">
      <c r="A10" s="301"/>
      <c r="B10" s="301"/>
      <c r="C10" s="110"/>
      <c r="D10" s="110"/>
      <c r="E10" s="110"/>
      <c r="F10" s="110"/>
      <c r="H10" s="110"/>
      <c r="I10" s="301"/>
      <c r="J10" s="301"/>
      <c r="K10" s="301"/>
      <c r="L10" s="301"/>
      <c r="M10" s="301"/>
      <c r="N10" s="303">
        <f t="shared" si="1"/>
        <v>0</v>
      </c>
    </row>
    <row r="11" ht="11.25" customHeight="1">
      <c r="A11" s="301"/>
      <c r="B11" s="301"/>
      <c r="C11" s="110"/>
      <c r="D11" s="110"/>
      <c r="E11" s="110"/>
      <c r="F11" s="110"/>
      <c r="H11" s="110"/>
      <c r="I11" s="301"/>
      <c r="J11" s="301"/>
      <c r="K11" s="301"/>
      <c r="L11" s="301"/>
      <c r="M11" s="301"/>
      <c r="N11" s="303">
        <f t="shared" si="1"/>
        <v>0</v>
      </c>
    </row>
    <row r="12" ht="11.25" customHeight="1">
      <c r="A12" s="110"/>
      <c r="B12" s="110"/>
      <c r="C12" s="110"/>
      <c r="D12" s="110"/>
      <c r="E12" s="110"/>
      <c r="F12" s="110"/>
      <c r="H12" s="110"/>
      <c r="I12" s="301"/>
      <c r="J12" s="301"/>
      <c r="K12" s="301"/>
      <c r="L12" s="301"/>
      <c r="M12" s="301"/>
      <c r="N12" s="303">
        <f t="shared" si="1"/>
        <v>0</v>
      </c>
    </row>
    <row r="13" ht="11.25" customHeight="1">
      <c r="A13" s="110"/>
      <c r="B13" s="110"/>
      <c r="C13" s="110"/>
      <c r="D13" s="110"/>
      <c r="E13" s="110"/>
      <c r="F13" s="110"/>
      <c r="H13" s="110"/>
      <c r="I13" s="301"/>
      <c r="J13" s="301"/>
      <c r="K13" s="301"/>
      <c r="L13" s="301"/>
      <c r="M13" s="301"/>
      <c r="N13" s="303">
        <f t="shared" si="1"/>
        <v>0</v>
      </c>
    </row>
    <row r="14" ht="11.25" customHeight="1">
      <c r="A14" s="110"/>
      <c r="B14" s="110"/>
      <c r="C14" s="110"/>
      <c r="D14" s="110"/>
      <c r="E14" s="110"/>
      <c r="F14" s="110"/>
      <c r="H14" s="110"/>
      <c r="I14" s="301"/>
      <c r="J14" s="301"/>
      <c r="K14" s="301"/>
      <c r="L14" s="301"/>
      <c r="M14" s="301"/>
      <c r="N14" s="303">
        <f t="shared" si="1"/>
        <v>0</v>
      </c>
    </row>
    <row r="15" ht="11.25" customHeight="1">
      <c r="A15" s="110"/>
      <c r="B15" s="110"/>
      <c r="C15" s="110"/>
      <c r="D15" s="110"/>
      <c r="E15" s="110"/>
      <c r="F15" s="110"/>
      <c r="H15" s="110"/>
      <c r="I15" s="301"/>
      <c r="J15" s="301"/>
      <c r="K15" s="301"/>
      <c r="L15" s="301"/>
      <c r="M15" s="301"/>
      <c r="N15" s="303">
        <f t="shared" si="1"/>
        <v>0</v>
      </c>
    </row>
    <row r="16" ht="11.25" customHeight="1">
      <c r="A16" s="110"/>
      <c r="B16" s="110"/>
      <c r="C16" s="110"/>
      <c r="D16" s="110"/>
      <c r="E16" s="110"/>
      <c r="F16" s="110"/>
      <c r="H16" s="110"/>
      <c r="I16" s="301"/>
      <c r="J16" s="301"/>
      <c r="K16" s="301"/>
      <c r="L16" s="301"/>
      <c r="M16" s="301"/>
      <c r="N16" s="303">
        <f t="shared" si="1"/>
        <v>0</v>
      </c>
    </row>
    <row r="17" ht="11.25" customHeight="1">
      <c r="A17" s="110"/>
      <c r="B17" s="110"/>
      <c r="C17" s="110"/>
      <c r="D17" s="110"/>
      <c r="E17" s="110"/>
      <c r="F17" s="110"/>
      <c r="H17" s="110"/>
      <c r="I17" s="301"/>
      <c r="J17" s="301"/>
      <c r="K17" s="301"/>
      <c r="L17" s="301"/>
      <c r="M17" s="301"/>
      <c r="N17" s="303">
        <f t="shared" si="1"/>
        <v>0</v>
      </c>
    </row>
    <row r="18" ht="11.25" customHeight="1">
      <c r="A18" s="110"/>
      <c r="B18" s="110"/>
      <c r="C18" s="110"/>
      <c r="D18" s="110"/>
      <c r="E18" s="110"/>
      <c r="F18" s="110"/>
      <c r="H18" s="110"/>
      <c r="I18" s="301"/>
      <c r="J18" s="301"/>
      <c r="K18" s="301"/>
      <c r="L18" s="301"/>
      <c r="M18" s="301"/>
      <c r="N18" s="303">
        <f t="shared" si="1"/>
        <v>0</v>
      </c>
    </row>
    <row r="19" ht="11.25" customHeight="1">
      <c r="A19" s="110"/>
      <c r="B19" s="110"/>
      <c r="C19" s="110"/>
      <c r="D19" s="110"/>
      <c r="E19" s="110"/>
      <c r="F19" s="110"/>
      <c r="H19" s="110"/>
      <c r="I19" s="301"/>
      <c r="J19" s="301"/>
      <c r="K19" s="301"/>
      <c r="L19" s="301"/>
      <c r="M19" s="301"/>
      <c r="N19" s="303">
        <f t="shared" si="1"/>
        <v>0</v>
      </c>
    </row>
    <row r="20" ht="11.25" customHeight="1">
      <c r="A20" s="301"/>
      <c r="B20" s="301"/>
      <c r="C20" s="110"/>
      <c r="D20" s="110"/>
      <c r="E20" s="110"/>
      <c r="F20" s="110"/>
      <c r="H20" s="110"/>
      <c r="I20" s="301"/>
      <c r="J20" s="301"/>
      <c r="K20" s="301"/>
      <c r="L20" s="301"/>
      <c r="M20" s="301"/>
      <c r="N20" s="303">
        <f t="shared" si="1"/>
        <v>0</v>
      </c>
    </row>
    <row r="21" ht="11.25" customHeight="1">
      <c r="A21" s="301"/>
      <c r="B21" s="301"/>
      <c r="C21" s="110"/>
      <c r="D21" s="110"/>
      <c r="E21" s="110"/>
      <c r="F21" s="110"/>
      <c r="H21" s="110"/>
      <c r="I21" s="301"/>
      <c r="J21" s="301"/>
      <c r="K21" s="301"/>
      <c r="L21" s="301"/>
      <c r="M21" s="301"/>
      <c r="N21" s="303">
        <f t="shared" si="1"/>
        <v>0</v>
      </c>
    </row>
    <row r="22" ht="11.25" customHeight="1">
      <c r="A22" s="110"/>
      <c r="B22" s="110"/>
      <c r="C22" s="110"/>
      <c r="D22" s="110"/>
      <c r="E22" s="110"/>
      <c r="F22" s="110"/>
      <c r="H22" s="110"/>
      <c r="I22" s="301"/>
      <c r="J22" s="301"/>
      <c r="K22" s="301"/>
      <c r="L22" s="301"/>
      <c r="M22" s="301"/>
      <c r="N22" s="303">
        <f t="shared" si="1"/>
        <v>0</v>
      </c>
    </row>
    <row r="23" ht="11.25" customHeight="1">
      <c r="A23" s="110"/>
      <c r="B23" s="110"/>
      <c r="C23" s="110"/>
      <c r="D23" s="110"/>
      <c r="E23" s="110"/>
      <c r="F23" s="110"/>
      <c r="H23" s="110"/>
      <c r="I23" s="301"/>
      <c r="J23" s="301"/>
      <c r="K23" s="301"/>
      <c r="L23" s="301"/>
      <c r="M23" s="301"/>
      <c r="N23" s="303">
        <f t="shared" si="1"/>
        <v>0</v>
      </c>
    </row>
    <row r="24" ht="11.25" customHeight="1">
      <c r="A24" s="110"/>
      <c r="B24" s="110"/>
      <c r="C24" s="110"/>
      <c r="D24" s="110"/>
      <c r="E24" s="110"/>
      <c r="F24" s="110"/>
      <c r="H24" s="110"/>
      <c r="I24" s="301"/>
      <c r="J24" s="301"/>
      <c r="K24" s="301"/>
      <c r="L24" s="301"/>
      <c r="M24" s="301"/>
      <c r="N24" s="303">
        <f t="shared" si="1"/>
        <v>0</v>
      </c>
    </row>
    <row r="25" ht="11.25" customHeight="1">
      <c r="A25" s="110"/>
      <c r="B25" s="110"/>
      <c r="C25" s="110"/>
      <c r="D25" s="110"/>
      <c r="E25" s="110"/>
      <c r="F25" s="110"/>
      <c r="H25" s="110"/>
      <c r="I25" s="301"/>
      <c r="J25" s="301"/>
      <c r="K25" s="301"/>
      <c r="L25" s="301"/>
      <c r="M25" s="301"/>
      <c r="N25" s="303">
        <f t="shared" si="1"/>
        <v>0</v>
      </c>
    </row>
    <row r="26" ht="11.25" customHeight="1">
      <c r="A26" s="110"/>
      <c r="B26" s="110"/>
      <c r="C26" s="110"/>
      <c r="D26" s="110"/>
      <c r="E26" s="110"/>
      <c r="F26" s="110"/>
      <c r="H26" s="110"/>
      <c r="I26" s="301"/>
      <c r="J26" s="301"/>
      <c r="K26" s="301"/>
      <c r="L26" s="301"/>
      <c r="M26" s="301"/>
      <c r="N26" s="303">
        <f t="shared" si="1"/>
        <v>0</v>
      </c>
    </row>
    <row r="27" ht="11.25" customHeight="1">
      <c r="A27" s="110"/>
      <c r="B27" s="110"/>
      <c r="C27" s="110"/>
      <c r="D27" s="110"/>
      <c r="E27" s="110"/>
      <c r="F27" s="110"/>
      <c r="H27" s="110"/>
      <c r="I27" s="301"/>
      <c r="J27" s="301"/>
      <c r="K27" s="301"/>
      <c r="L27" s="301"/>
      <c r="M27" s="301"/>
      <c r="N27" s="303">
        <f t="shared" si="1"/>
        <v>0</v>
      </c>
    </row>
    <row r="28" ht="11.25" customHeight="1">
      <c r="A28" s="110"/>
      <c r="B28" s="110"/>
      <c r="C28" s="110"/>
      <c r="D28" s="110"/>
      <c r="E28" s="110"/>
      <c r="F28" s="110"/>
      <c r="H28" s="110"/>
      <c r="I28" s="301"/>
      <c r="J28" s="301"/>
      <c r="K28" s="301"/>
      <c r="L28" s="301"/>
      <c r="M28" s="301"/>
      <c r="N28" s="303">
        <f t="shared" si="1"/>
        <v>0</v>
      </c>
    </row>
    <row r="29" ht="11.25" customHeight="1">
      <c r="A29" s="110"/>
      <c r="B29" s="110"/>
      <c r="C29" s="110"/>
      <c r="D29" s="110"/>
      <c r="E29" s="110"/>
      <c r="F29" s="110"/>
      <c r="H29" s="110"/>
      <c r="I29" s="301"/>
      <c r="J29" s="301"/>
      <c r="K29" s="301"/>
      <c r="L29" s="301"/>
      <c r="M29" s="301"/>
      <c r="N29" s="303">
        <f t="shared" si="1"/>
        <v>0</v>
      </c>
    </row>
    <row r="30" ht="11.25" customHeight="1">
      <c r="A30" s="110"/>
      <c r="B30" s="110"/>
      <c r="C30" s="110"/>
      <c r="D30" s="110"/>
      <c r="E30" s="110"/>
      <c r="F30" s="110"/>
      <c r="H30" s="110"/>
      <c r="I30" s="110"/>
      <c r="J30" s="110"/>
      <c r="K30" s="110"/>
      <c r="L30" s="110"/>
      <c r="M30" s="110"/>
      <c r="N30" s="303">
        <f t="shared" si="1"/>
        <v>0</v>
      </c>
    </row>
    <row r="31" ht="11.25" customHeight="1">
      <c r="A31" s="110"/>
      <c r="B31" s="110"/>
      <c r="C31" s="110"/>
      <c r="D31" s="110"/>
      <c r="E31" s="110"/>
      <c r="F31" s="110"/>
      <c r="H31" s="110"/>
      <c r="I31" s="110"/>
      <c r="J31" s="110"/>
      <c r="K31" s="110"/>
      <c r="L31" s="110"/>
      <c r="M31" s="110"/>
      <c r="N31" s="303">
        <f t="shared" si="1"/>
        <v>0</v>
      </c>
    </row>
    <row r="32" ht="12.75" customHeight="1">
      <c r="A32" s="110"/>
      <c r="B32" s="110"/>
      <c r="C32" s="110"/>
      <c r="D32" s="110"/>
      <c r="E32" s="110"/>
      <c r="F32" s="110"/>
      <c r="H32" s="281" t="s">
        <v>21</v>
      </c>
      <c r="I32" s="106"/>
      <c r="J32" s="106"/>
      <c r="K32" s="106"/>
      <c r="L32" s="106"/>
      <c r="M32" s="106"/>
      <c r="N32" s="107"/>
    </row>
    <row r="33" ht="11.25" customHeight="1">
      <c r="A33" s="110"/>
      <c r="B33" s="110"/>
      <c r="C33" s="110"/>
      <c r="D33" s="110"/>
      <c r="E33" s="110"/>
      <c r="F33" s="110"/>
      <c r="H33" s="276"/>
      <c r="I33" s="276"/>
      <c r="J33" s="276"/>
      <c r="K33" s="276"/>
      <c r="L33" s="276"/>
      <c r="M33" s="281">
        <f>SUM(N3:N31)</f>
        <v>0</v>
      </c>
      <c r="N33" s="107"/>
    </row>
    <row r="34" ht="11.25" customHeight="1">
      <c r="A34" s="110"/>
      <c r="B34" s="110"/>
      <c r="C34" s="110"/>
      <c r="D34" s="110"/>
      <c r="E34" s="110"/>
      <c r="F34" s="110"/>
    </row>
    <row r="35" ht="11.25" customHeight="1">
      <c r="A35" s="110"/>
      <c r="B35" s="110"/>
      <c r="C35" s="110"/>
      <c r="D35" s="110"/>
      <c r="E35" s="110"/>
      <c r="F35" s="110"/>
    </row>
    <row r="36" ht="11.25" customHeight="1">
      <c r="A36" s="110"/>
      <c r="B36" s="110"/>
      <c r="C36" s="110"/>
      <c r="D36" s="110"/>
      <c r="E36" s="110"/>
      <c r="F36" s="110"/>
    </row>
    <row r="37" ht="11.25" customHeight="1">
      <c r="A37" s="110"/>
      <c r="B37" s="110"/>
      <c r="C37" s="110"/>
      <c r="D37" s="110"/>
      <c r="E37" s="110"/>
      <c r="F37" s="110"/>
    </row>
    <row r="38" ht="11.25" customHeight="1">
      <c r="A38" s="110"/>
      <c r="B38" s="110"/>
      <c r="C38" s="110"/>
      <c r="D38" s="110"/>
      <c r="E38" s="110"/>
      <c r="F38" s="110"/>
    </row>
    <row r="39" ht="11.25" customHeight="1">
      <c r="A39" s="110"/>
      <c r="B39" s="110"/>
      <c r="C39" s="110"/>
      <c r="D39" s="110"/>
      <c r="E39" s="110"/>
      <c r="F39" s="110"/>
    </row>
    <row r="40" ht="11.25" customHeight="1">
      <c r="A40" s="110"/>
      <c r="B40" s="110"/>
      <c r="C40" s="110"/>
      <c r="D40" s="110"/>
      <c r="E40" s="110"/>
      <c r="F40" s="110"/>
    </row>
    <row r="41" ht="11.25" customHeight="1">
      <c r="A41" s="110"/>
      <c r="B41" s="110"/>
      <c r="C41" s="110"/>
      <c r="D41" s="110"/>
      <c r="E41" s="110"/>
      <c r="F41" s="110"/>
    </row>
    <row r="42" ht="11.25" customHeight="1">
      <c r="A42" s="110"/>
      <c r="B42" s="110"/>
      <c r="C42" s="110"/>
      <c r="D42" s="110"/>
      <c r="E42" s="110"/>
      <c r="F42" s="110"/>
    </row>
    <row r="43" ht="11.25" customHeight="1">
      <c r="A43" s="110"/>
      <c r="B43" s="110"/>
      <c r="C43" s="110"/>
      <c r="D43" s="110"/>
      <c r="E43" s="110"/>
      <c r="F43" s="110"/>
    </row>
    <row r="44" ht="11.25" customHeight="1">
      <c r="A44" s="110"/>
      <c r="B44" s="110"/>
      <c r="C44" s="110"/>
      <c r="D44" s="110"/>
      <c r="E44" s="110"/>
      <c r="F44" s="110"/>
      <c r="H44" s="304" t="s">
        <v>1</v>
      </c>
      <c r="I44" s="12"/>
      <c r="J44" s="12"/>
      <c r="K44" s="12"/>
      <c r="L44" s="12"/>
      <c r="M44" s="12"/>
      <c r="N44" s="13"/>
    </row>
    <row r="45" ht="11.25" customHeight="1">
      <c r="A45" s="110"/>
      <c r="B45" s="110"/>
      <c r="C45" s="110"/>
      <c r="D45" s="110"/>
      <c r="E45" s="110"/>
      <c r="F45" s="110"/>
      <c r="H45" s="63"/>
      <c r="I45" s="64"/>
      <c r="J45" s="64"/>
      <c r="K45" s="64"/>
      <c r="L45" s="64"/>
      <c r="M45" s="64"/>
      <c r="N45" s="65"/>
    </row>
    <row r="46" ht="11.25" customHeight="1">
      <c r="A46" s="110"/>
      <c r="B46" s="110"/>
      <c r="C46" s="110"/>
      <c r="D46" s="110"/>
      <c r="E46" s="110"/>
      <c r="F46" s="110"/>
    </row>
    <row r="47" ht="11.25" customHeight="1">
      <c r="A47" s="110"/>
      <c r="B47" s="110"/>
      <c r="C47" s="110"/>
      <c r="D47" s="110"/>
      <c r="E47" s="110"/>
      <c r="F47" s="110"/>
      <c r="H47" s="305" t="s">
        <v>3</v>
      </c>
      <c r="I47" s="306" t="s">
        <v>9</v>
      </c>
      <c r="J47" s="5"/>
      <c r="K47" s="6"/>
      <c r="L47" s="306" t="s">
        <v>10</v>
      </c>
      <c r="M47" s="5"/>
      <c r="N47" s="6"/>
    </row>
    <row r="48" ht="11.25" customHeight="1">
      <c r="A48" s="110"/>
      <c r="B48" s="110"/>
      <c r="C48" s="110"/>
      <c r="D48" s="110"/>
      <c r="E48" s="110"/>
      <c r="F48" s="110"/>
      <c r="H48" s="307">
        <f>SUM(B51,M33)</f>
        <v>0</v>
      </c>
      <c r="I48" s="308">
        <f>COUNT(F3:F49,I3:M31)</f>
        <v>0</v>
      </c>
      <c r="J48" s="12"/>
      <c r="K48" s="13"/>
      <c r="L48" s="308">
        <f>SUM(F3:F49)+COUNT(I3:M31)</f>
        <v>0</v>
      </c>
      <c r="M48" s="12"/>
      <c r="N48" s="13"/>
    </row>
    <row r="49" ht="11.25" customHeight="1">
      <c r="A49" s="118"/>
      <c r="B49" s="118"/>
      <c r="C49" s="118"/>
      <c r="D49" s="118"/>
      <c r="E49" s="118"/>
      <c r="F49" s="118"/>
      <c r="H49" s="69"/>
      <c r="I49" s="63"/>
      <c r="J49" s="64"/>
      <c r="K49" s="65"/>
      <c r="L49" s="63"/>
      <c r="M49" s="64"/>
      <c r="N49" s="65"/>
    </row>
    <row r="50" ht="18.0" customHeight="1">
      <c r="A50" s="287" t="s">
        <v>1</v>
      </c>
      <c r="B50" s="5"/>
      <c r="C50" s="5"/>
      <c r="D50" s="5"/>
      <c r="E50" s="5"/>
      <c r="F50" s="5"/>
    </row>
    <row r="51" ht="12.0" customHeight="1">
      <c r="A51" s="222"/>
      <c r="B51" s="309">
        <f>SUM(B3:B49)</f>
        <v>0</v>
      </c>
      <c r="C51" s="310" t="s">
        <v>11</v>
      </c>
      <c r="D51" s="289"/>
      <c r="E51" s="289"/>
      <c r="F51" s="309">
        <f>SUM(F3:F49)</f>
        <v>0</v>
      </c>
    </row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I48:K49"/>
    <mergeCell ref="L48:N49"/>
    <mergeCell ref="A50:F50"/>
    <mergeCell ref="J1:N1"/>
    <mergeCell ref="H32:N32"/>
    <mergeCell ref="M33:N33"/>
    <mergeCell ref="H44:N45"/>
    <mergeCell ref="I47:K47"/>
    <mergeCell ref="L47:N47"/>
    <mergeCell ref="H48:H49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0.86"/>
    <col customWidth="1" min="3" max="5" width="8.71"/>
    <col customWidth="1" min="6" max="6" width="10.0"/>
    <col customWidth="1" min="7" max="7" width="5.71"/>
    <col customWidth="1" min="8" max="8" width="13.71"/>
    <col customWidth="1" min="9" max="13" width="5.71"/>
    <col customWidth="1" min="14" max="14" width="4.71"/>
    <col customWidth="1" min="15" max="18" width="8.71"/>
    <col customWidth="1" min="19" max="19" width="10.57"/>
    <col customWidth="1" min="20" max="25" width="8.71"/>
    <col customWidth="1" min="26" max="30" width="5.71"/>
    <col customWidth="1" min="31" max="37" width="8.71"/>
    <col customWidth="1" min="38" max="38" width="12.43"/>
    <col customWidth="1" min="39" max="40" width="8.71"/>
    <col customWidth="1" min="41" max="41" width="5.29"/>
    <col customWidth="1" min="42" max="43" width="5.71"/>
    <col customWidth="1" min="44" max="44" width="5.29"/>
    <col customWidth="1" min="45" max="45" width="5.71"/>
    <col customWidth="1" min="46" max="46" width="4.71"/>
  </cols>
  <sheetData>
    <row r="2">
      <c r="A2" s="71" t="s">
        <v>43</v>
      </c>
      <c r="B2" s="266"/>
      <c r="C2" s="266"/>
      <c r="D2" s="267"/>
      <c r="E2" s="268" t="s">
        <v>49</v>
      </c>
      <c r="F2" s="5"/>
      <c r="G2" s="266"/>
      <c r="H2" s="266"/>
      <c r="I2" s="266"/>
      <c r="J2" s="120">
        <f>TODAY()+2</f>
        <v>46175</v>
      </c>
      <c r="K2" s="5"/>
      <c r="L2" s="5"/>
      <c r="M2" s="5"/>
      <c r="N2" s="6"/>
      <c r="R2" s="71" t="s">
        <v>45</v>
      </c>
      <c r="S2" s="266"/>
      <c r="T2" s="266"/>
      <c r="U2" s="267"/>
      <c r="V2" s="267"/>
      <c r="W2" s="268" t="s">
        <v>49</v>
      </c>
      <c r="X2" s="5"/>
      <c r="Y2" s="266"/>
      <c r="Z2" s="266"/>
      <c r="AA2" s="120">
        <f>TODAY()+2</f>
        <v>46175</v>
      </c>
      <c r="AB2" s="5"/>
      <c r="AC2" s="5"/>
      <c r="AD2" s="5"/>
      <c r="AE2" s="6"/>
    </row>
    <row r="3">
      <c r="A3" s="269" t="s">
        <v>2</v>
      </c>
      <c r="B3" s="270" t="s">
        <v>3</v>
      </c>
      <c r="C3" s="270" t="s">
        <v>4</v>
      </c>
      <c r="D3" s="270" t="s">
        <v>5</v>
      </c>
      <c r="E3" s="270" t="s">
        <v>6</v>
      </c>
      <c r="F3" s="271" t="s">
        <v>7</v>
      </c>
      <c r="G3" s="272"/>
      <c r="H3" s="273" t="s">
        <v>2</v>
      </c>
      <c r="I3" s="274"/>
      <c r="J3" s="274"/>
      <c r="K3" s="274"/>
      <c r="L3" s="274"/>
      <c r="M3" s="274"/>
      <c r="N3" s="275" t="s">
        <v>3</v>
      </c>
      <c r="R3" s="269" t="s">
        <v>2</v>
      </c>
      <c r="S3" s="270" t="s">
        <v>3</v>
      </c>
      <c r="T3" s="270" t="s">
        <v>4</v>
      </c>
      <c r="U3" s="270" t="s">
        <v>5</v>
      </c>
      <c r="V3" s="270" t="s">
        <v>6</v>
      </c>
      <c r="W3" s="271" t="s">
        <v>7</v>
      </c>
      <c r="X3" s="272"/>
      <c r="Y3" s="273" t="s">
        <v>2</v>
      </c>
      <c r="Z3" s="274"/>
      <c r="AA3" s="274"/>
      <c r="AB3" s="274"/>
      <c r="AC3" s="274"/>
      <c r="AD3" s="274"/>
      <c r="AE3" s="275" t="s">
        <v>3</v>
      </c>
    </row>
    <row r="4">
      <c r="A4" s="32"/>
      <c r="B4" s="32"/>
      <c r="C4" s="32"/>
      <c r="D4" s="32"/>
      <c r="E4" s="32"/>
      <c r="F4" s="32"/>
      <c r="H4" s="31"/>
      <c r="I4" s="31"/>
      <c r="J4" s="31"/>
      <c r="K4" s="31"/>
      <c r="L4" s="31"/>
      <c r="M4" s="31"/>
      <c r="N4" s="276">
        <f t="shared" ref="N4:N32" si="1">SUM(I4:M4)</f>
        <v>0</v>
      </c>
      <c r="R4" s="32"/>
      <c r="S4" s="32"/>
      <c r="T4" s="32"/>
      <c r="U4" s="32"/>
      <c r="V4" s="32"/>
      <c r="W4" s="32"/>
      <c r="Y4" s="31"/>
      <c r="Z4" s="31"/>
      <c r="AA4" s="31"/>
      <c r="AB4" s="31"/>
      <c r="AC4" s="31"/>
      <c r="AD4" s="31"/>
      <c r="AE4" s="277">
        <f t="shared" ref="AE4:AE32" si="2">SUM(Z4:AD4)</f>
        <v>0</v>
      </c>
      <c r="AI4" s="11" t="s">
        <v>1</v>
      </c>
      <c r="AJ4" s="12"/>
      <c r="AK4" s="13"/>
    </row>
    <row r="5">
      <c r="A5" s="278"/>
      <c r="B5" s="32"/>
      <c r="C5" s="32"/>
      <c r="D5" s="32"/>
      <c r="E5" s="32"/>
      <c r="F5" s="32"/>
      <c r="H5" s="32"/>
      <c r="I5" s="31"/>
      <c r="J5" s="31"/>
      <c r="K5" s="31"/>
      <c r="L5" s="31"/>
      <c r="M5" s="31"/>
      <c r="N5" s="276">
        <f t="shared" si="1"/>
        <v>0</v>
      </c>
      <c r="R5" s="31"/>
      <c r="S5" s="31"/>
      <c r="T5" s="32"/>
      <c r="U5" s="32"/>
      <c r="V5" s="32"/>
      <c r="W5" s="32"/>
      <c r="Y5" s="32"/>
      <c r="Z5" s="31"/>
      <c r="AA5" s="31"/>
      <c r="AB5" s="31"/>
      <c r="AC5" s="31"/>
      <c r="AD5" s="31"/>
      <c r="AE5" s="276">
        <f t="shared" si="2"/>
        <v>0</v>
      </c>
      <c r="AI5" s="28"/>
      <c r="AK5" s="29"/>
    </row>
    <row r="6">
      <c r="A6" s="32"/>
      <c r="B6" s="32"/>
      <c r="C6" s="32"/>
      <c r="D6" s="32"/>
      <c r="E6" s="32"/>
      <c r="F6" s="32"/>
      <c r="H6" s="32"/>
      <c r="I6" s="31"/>
      <c r="J6" s="31"/>
      <c r="K6" s="31"/>
      <c r="L6" s="31"/>
      <c r="M6" s="31"/>
      <c r="N6" s="276">
        <f t="shared" si="1"/>
        <v>0</v>
      </c>
      <c r="R6" s="32"/>
      <c r="S6" s="32"/>
      <c r="T6" s="32"/>
      <c r="U6" s="32"/>
      <c r="V6" s="32"/>
      <c r="W6" s="32"/>
      <c r="Y6" s="32"/>
      <c r="Z6" s="31"/>
      <c r="AA6" s="31"/>
      <c r="AB6" s="31"/>
      <c r="AC6" s="31"/>
      <c r="AD6" s="31"/>
      <c r="AE6" s="276">
        <f t="shared" si="2"/>
        <v>0</v>
      </c>
      <c r="AI6" s="63"/>
      <c r="AJ6" s="64"/>
      <c r="AK6" s="65"/>
    </row>
    <row r="7">
      <c r="A7" s="32"/>
      <c r="B7" s="32"/>
      <c r="C7" s="32"/>
      <c r="D7" s="32"/>
      <c r="E7" s="32"/>
      <c r="F7" s="32"/>
      <c r="H7" s="32"/>
      <c r="I7" s="31"/>
      <c r="J7" s="31"/>
      <c r="K7" s="31"/>
      <c r="L7" s="31"/>
      <c r="M7" s="31"/>
      <c r="N7" s="276">
        <f t="shared" si="1"/>
        <v>0</v>
      </c>
      <c r="R7" s="32"/>
      <c r="S7" s="32"/>
      <c r="T7" s="32"/>
      <c r="U7" s="32"/>
      <c r="V7" s="32"/>
      <c r="W7" s="32"/>
      <c r="Y7" s="32"/>
      <c r="Z7" s="31"/>
      <c r="AA7" s="31"/>
      <c r="AB7" s="31"/>
      <c r="AC7" s="31"/>
      <c r="AD7" s="31"/>
      <c r="AE7" s="276">
        <f t="shared" si="2"/>
        <v>0</v>
      </c>
      <c r="AI7" s="11">
        <f>SUM(I49,Z49)</f>
        <v>0</v>
      </c>
      <c r="AJ7" s="13"/>
      <c r="AK7" s="126" t="s">
        <v>15</v>
      </c>
    </row>
    <row r="8">
      <c r="A8" s="32"/>
      <c r="B8" s="32"/>
      <c r="C8" s="32"/>
      <c r="D8" s="32"/>
      <c r="E8" s="32"/>
      <c r="F8" s="32"/>
      <c r="H8" s="32"/>
      <c r="I8" s="31"/>
      <c r="J8" s="31"/>
      <c r="K8" s="31"/>
      <c r="L8" s="31"/>
      <c r="M8" s="31"/>
      <c r="N8" s="276">
        <f t="shared" si="1"/>
        <v>0</v>
      </c>
      <c r="R8" s="32"/>
      <c r="S8" s="32"/>
      <c r="T8" s="32"/>
      <c r="U8" s="32"/>
      <c r="V8" s="32"/>
      <c r="W8" s="32"/>
      <c r="Y8" s="32"/>
      <c r="Z8" s="31"/>
      <c r="AA8" s="31"/>
      <c r="AB8" s="31"/>
      <c r="AC8" s="31"/>
      <c r="AD8" s="31"/>
      <c r="AE8" s="276">
        <f t="shared" si="2"/>
        <v>0</v>
      </c>
      <c r="AI8" s="63"/>
      <c r="AJ8" s="65"/>
      <c r="AK8" s="69"/>
    </row>
    <row r="9">
      <c r="A9" s="32"/>
      <c r="B9" s="32"/>
      <c r="C9" s="32"/>
      <c r="D9" s="32"/>
      <c r="E9" s="32"/>
      <c r="F9" s="32"/>
      <c r="H9" s="32"/>
      <c r="I9" s="31"/>
      <c r="J9" s="31"/>
      <c r="K9" s="31"/>
      <c r="L9" s="31"/>
      <c r="M9" s="31"/>
      <c r="N9" s="276">
        <f t="shared" si="1"/>
        <v>0</v>
      </c>
      <c r="R9" s="32"/>
      <c r="S9" s="31"/>
      <c r="T9" s="32"/>
      <c r="U9" s="32"/>
      <c r="V9" s="32"/>
      <c r="W9" s="32"/>
      <c r="Y9" s="32"/>
      <c r="Z9" s="31"/>
      <c r="AA9" s="31"/>
      <c r="AB9" s="31"/>
      <c r="AC9" s="31"/>
      <c r="AD9" s="31"/>
      <c r="AE9" s="276">
        <f t="shared" si="2"/>
        <v>0</v>
      </c>
      <c r="AI9" s="11">
        <f>SUM(AC49,L49)</f>
        <v>0</v>
      </c>
      <c r="AJ9" s="13"/>
      <c r="AK9" s="126" t="s">
        <v>16</v>
      </c>
    </row>
    <row r="10">
      <c r="A10" s="32"/>
      <c r="B10" s="32"/>
      <c r="C10" s="32"/>
      <c r="D10" s="32"/>
      <c r="E10" s="32"/>
      <c r="F10" s="32"/>
      <c r="H10" s="32"/>
      <c r="I10" s="31"/>
      <c r="J10" s="31"/>
      <c r="K10" s="31"/>
      <c r="L10" s="31"/>
      <c r="M10" s="31"/>
      <c r="N10" s="276">
        <f t="shared" si="1"/>
        <v>0</v>
      </c>
      <c r="R10" s="32"/>
      <c r="S10" s="32"/>
      <c r="T10" s="32"/>
      <c r="U10" s="32"/>
      <c r="V10" s="32"/>
      <c r="W10" s="32"/>
      <c r="Y10" s="32"/>
      <c r="Z10" s="31"/>
      <c r="AA10" s="31"/>
      <c r="AB10" s="31"/>
      <c r="AC10" s="31"/>
      <c r="AD10" s="31"/>
      <c r="AE10" s="276">
        <f t="shared" si="2"/>
        <v>0</v>
      </c>
      <c r="AI10" s="63"/>
      <c r="AJ10" s="65"/>
      <c r="AK10" s="69"/>
    </row>
    <row r="11">
      <c r="A11" s="32"/>
      <c r="B11" s="32"/>
      <c r="C11" s="32"/>
      <c r="D11" s="32"/>
      <c r="E11" s="32"/>
      <c r="F11" s="32"/>
      <c r="H11" s="32"/>
      <c r="I11" s="31"/>
      <c r="J11" s="31"/>
      <c r="K11" s="31"/>
      <c r="L11" s="31"/>
      <c r="M11" s="31"/>
      <c r="N11" s="276">
        <f t="shared" si="1"/>
        <v>0</v>
      </c>
      <c r="R11" s="31"/>
      <c r="S11" s="31"/>
      <c r="T11" s="32"/>
      <c r="U11" s="32"/>
      <c r="V11" s="32"/>
      <c r="W11" s="32"/>
      <c r="Y11" s="32"/>
      <c r="Z11" s="31"/>
      <c r="AA11" s="31"/>
      <c r="AB11" s="31"/>
      <c r="AC11" s="31"/>
      <c r="AD11" s="31"/>
      <c r="AE11" s="276">
        <f t="shared" si="2"/>
        <v>0</v>
      </c>
      <c r="AI11" s="11">
        <f>SUM(Y49,H49)</f>
        <v>0</v>
      </c>
      <c r="AJ11" s="12"/>
      <c r="AK11" s="126" t="s">
        <v>3</v>
      </c>
    </row>
    <row r="12">
      <c r="A12" s="32"/>
      <c r="B12" s="32"/>
      <c r="C12" s="32"/>
      <c r="D12" s="32"/>
      <c r="E12" s="32"/>
      <c r="F12" s="32"/>
      <c r="H12" s="32"/>
      <c r="I12" s="31"/>
      <c r="J12" s="31"/>
      <c r="K12" s="31"/>
      <c r="L12" s="31"/>
      <c r="M12" s="31"/>
      <c r="N12" s="276">
        <f t="shared" si="1"/>
        <v>0</v>
      </c>
      <c r="R12" s="31"/>
      <c r="S12" s="31"/>
      <c r="T12" s="32"/>
      <c r="U12" s="32"/>
      <c r="V12" s="32"/>
      <c r="W12" s="32"/>
      <c r="Y12" s="32"/>
      <c r="Z12" s="31"/>
      <c r="AA12" s="31"/>
      <c r="AB12" s="31"/>
      <c r="AC12" s="31"/>
      <c r="AD12" s="31"/>
      <c r="AE12" s="276">
        <f t="shared" si="2"/>
        <v>0</v>
      </c>
      <c r="AI12" s="63"/>
      <c r="AJ12" s="64"/>
      <c r="AK12" s="69"/>
    </row>
    <row r="13">
      <c r="A13" s="32"/>
      <c r="B13" s="32"/>
      <c r="C13" s="32"/>
      <c r="D13" s="32"/>
      <c r="E13" s="32"/>
      <c r="F13" s="32"/>
      <c r="H13" s="32"/>
      <c r="I13" s="31"/>
      <c r="J13" s="31"/>
      <c r="K13" s="31"/>
      <c r="L13" s="31"/>
      <c r="M13" s="31"/>
      <c r="N13" s="276">
        <f t="shared" si="1"/>
        <v>0</v>
      </c>
      <c r="R13" s="32"/>
      <c r="S13" s="32"/>
      <c r="T13" s="32"/>
      <c r="U13" s="32"/>
      <c r="V13" s="32"/>
      <c r="W13" s="32"/>
      <c r="Y13" s="32"/>
      <c r="Z13" s="31"/>
      <c r="AA13" s="31"/>
      <c r="AB13" s="31"/>
      <c r="AC13" s="31"/>
      <c r="AD13" s="31"/>
      <c r="AE13" s="276">
        <f t="shared" si="2"/>
        <v>0</v>
      </c>
    </row>
    <row r="14">
      <c r="A14" s="32"/>
      <c r="B14" s="32"/>
      <c r="C14" s="32"/>
      <c r="D14" s="32"/>
      <c r="E14" s="32"/>
      <c r="F14" s="32"/>
      <c r="H14" s="32"/>
      <c r="I14" s="31"/>
      <c r="J14" s="31"/>
      <c r="K14" s="31"/>
      <c r="L14" s="31"/>
      <c r="M14" s="31"/>
      <c r="N14" s="276">
        <f t="shared" si="1"/>
        <v>0</v>
      </c>
      <c r="R14" s="32"/>
      <c r="S14" s="32"/>
      <c r="T14" s="32"/>
      <c r="U14" s="32"/>
      <c r="V14" s="32"/>
      <c r="W14" s="32"/>
      <c r="Y14" s="32"/>
      <c r="Z14" s="31"/>
      <c r="AA14" s="31"/>
      <c r="AB14" s="31"/>
      <c r="AC14" s="31"/>
      <c r="AD14" s="31"/>
      <c r="AE14" s="276">
        <f t="shared" si="2"/>
        <v>0</v>
      </c>
    </row>
    <row r="15">
      <c r="A15" s="32"/>
      <c r="B15" s="32"/>
      <c r="C15" s="32"/>
      <c r="D15" s="32"/>
      <c r="E15" s="32"/>
      <c r="F15" s="32"/>
      <c r="H15" s="32"/>
      <c r="I15" s="31"/>
      <c r="J15" s="31"/>
      <c r="K15" s="31"/>
      <c r="L15" s="31"/>
      <c r="M15" s="31"/>
      <c r="N15" s="276">
        <f t="shared" si="1"/>
        <v>0</v>
      </c>
      <c r="R15" s="32"/>
      <c r="S15" s="32"/>
      <c r="T15" s="32"/>
      <c r="U15" s="32"/>
      <c r="V15" s="32"/>
      <c r="W15" s="32"/>
      <c r="Y15" s="32"/>
      <c r="Z15" s="31"/>
      <c r="AA15" s="31"/>
      <c r="AB15" s="31"/>
      <c r="AC15" s="31"/>
      <c r="AD15" s="31"/>
      <c r="AE15" s="276">
        <f t="shared" si="2"/>
        <v>0</v>
      </c>
    </row>
    <row r="16">
      <c r="A16" s="31"/>
      <c r="B16" s="31"/>
      <c r="C16" s="32"/>
      <c r="D16" s="32"/>
      <c r="E16" s="32"/>
      <c r="F16" s="32"/>
      <c r="H16" s="32"/>
      <c r="I16" s="31"/>
      <c r="J16" s="31"/>
      <c r="K16" s="31"/>
      <c r="L16" s="31"/>
      <c r="M16" s="31"/>
      <c r="N16" s="276">
        <f t="shared" si="1"/>
        <v>0</v>
      </c>
      <c r="R16" s="32"/>
      <c r="S16" s="32"/>
      <c r="T16" s="32"/>
      <c r="U16" s="32"/>
      <c r="V16" s="32"/>
      <c r="W16" s="32"/>
      <c r="Y16" s="32"/>
      <c r="Z16" s="31"/>
      <c r="AA16" s="31"/>
      <c r="AB16" s="31"/>
      <c r="AC16" s="31"/>
      <c r="AD16" s="31"/>
      <c r="AE16" s="276">
        <f t="shared" si="2"/>
        <v>0</v>
      </c>
    </row>
    <row r="17">
      <c r="A17" s="32"/>
      <c r="B17" s="32"/>
      <c r="C17" s="32"/>
      <c r="D17" s="32"/>
      <c r="E17" s="32"/>
      <c r="F17" s="32"/>
      <c r="H17" s="32"/>
      <c r="I17" s="31"/>
      <c r="J17" s="31"/>
      <c r="K17" s="31"/>
      <c r="L17" s="31"/>
      <c r="M17" s="31"/>
      <c r="N17" s="276">
        <f t="shared" si="1"/>
        <v>0</v>
      </c>
      <c r="R17" s="32"/>
      <c r="S17" s="32"/>
      <c r="T17" s="32"/>
      <c r="U17" s="32"/>
      <c r="V17" s="32"/>
      <c r="W17" s="32"/>
      <c r="Y17" s="32"/>
      <c r="Z17" s="31"/>
      <c r="AA17" s="31"/>
      <c r="AB17" s="31"/>
      <c r="AC17" s="31"/>
      <c r="AD17" s="31"/>
      <c r="AE17" s="276">
        <f t="shared" si="2"/>
        <v>0</v>
      </c>
    </row>
    <row r="18">
      <c r="A18" s="32"/>
      <c r="B18" s="32"/>
      <c r="C18" s="32"/>
      <c r="D18" s="32"/>
      <c r="E18" s="32"/>
      <c r="F18" s="32"/>
      <c r="H18" s="32"/>
      <c r="I18" s="31"/>
      <c r="J18" s="31"/>
      <c r="K18" s="31"/>
      <c r="L18" s="31"/>
      <c r="M18" s="31"/>
      <c r="N18" s="276">
        <f t="shared" si="1"/>
        <v>0</v>
      </c>
      <c r="R18" s="32"/>
      <c r="S18" s="32"/>
      <c r="T18" s="32"/>
      <c r="U18" s="32"/>
      <c r="V18" s="32"/>
      <c r="W18" s="32"/>
      <c r="Y18" s="32"/>
      <c r="Z18" s="31"/>
      <c r="AA18" s="31"/>
      <c r="AB18" s="31"/>
      <c r="AC18" s="31"/>
      <c r="AD18" s="31"/>
      <c r="AE18" s="276">
        <f t="shared" si="2"/>
        <v>0</v>
      </c>
    </row>
    <row r="19">
      <c r="A19" s="32"/>
      <c r="B19" s="32"/>
      <c r="C19" s="32"/>
      <c r="D19" s="32"/>
      <c r="E19" s="32"/>
      <c r="F19" s="32"/>
      <c r="H19" s="32"/>
      <c r="I19" s="32"/>
      <c r="J19" s="31"/>
      <c r="K19" s="31"/>
      <c r="L19" s="31"/>
      <c r="M19" s="31"/>
      <c r="N19" s="276">
        <f t="shared" si="1"/>
        <v>0</v>
      </c>
      <c r="R19" s="32"/>
      <c r="S19" s="32"/>
      <c r="T19" s="32"/>
      <c r="U19" s="32"/>
      <c r="V19" s="32"/>
      <c r="W19" s="32"/>
      <c r="Y19" s="32"/>
      <c r="Z19" s="31"/>
      <c r="AA19" s="31"/>
      <c r="AB19" s="31"/>
      <c r="AC19" s="31"/>
      <c r="AD19" s="31"/>
      <c r="AE19" s="276">
        <f t="shared" si="2"/>
        <v>0</v>
      </c>
    </row>
    <row r="20">
      <c r="A20" s="32"/>
      <c r="B20" s="32"/>
      <c r="C20" s="32"/>
      <c r="D20" s="32"/>
      <c r="E20" s="32"/>
      <c r="F20" s="32"/>
      <c r="H20" s="32"/>
      <c r="I20" s="31"/>
      <c r="J20" s="31"/>
      <c r="K20" s="31"/>
      <c r="L20" s="31"/>
      <c r="M20" s="31"/>
      <c r="N20" s="276">
        <f t="shared" si="1"/>
        <v>0</v>
      </c>
      <c r="R20" s="32"/>
      <c r="S20" s="32"/>
      <c r="T20" s="32"/>
      <c r="U20" s="32"/>
      <c r="V20" s="32"/>
      <c r="W20" s="32"/>
      <c r="Y20" s="32"/>
      <c r="Z20" s="31"/>
      <c r="AA20" s="31"/>
      <c r="AB20" s="31"/>
      <c r="AC20" s="31"/>
      <c r="AD20" s="31"/>
      <c r="AE20" s="276">
        <f t="shared" si="2"/>
        <v>0</v>
      </c>
    </row>
    <row r="21" ht="15.75" customHeight="1">
      <c r="A21" s="32"/>
      <c r="B21" s="32"/>
      <c r="C21" s="32"/>
      <c r="D21" s="32"/>
      <c r="E21" s="32"/>
      <c r="F21" s="32"/>
      <c r="H21" s="32"/>
      <c r="I21" s="31"/>
      <c r="J21" s="31"/>
      <c r="K21" s="31"/>
      <c r="L21" s="31"/>
      <c r="M21" s="31"/>
      <c r="N21" s="276">
        <f t="shared" si="1"/>
        <v>0</v>
      </c>
      <c r="R21" s="31"/>
      <c r="S21" s="31"/>
      <c r="T21" s="32"/>
      <c r="U21" s="32"/>
      <c r="V21" s="32"/>
      <c r="W21" s="32"/>
      <c r="Y21" s="32"/>
      <c r="Z21" s="31"/>
      <c r="AA21" s="31"/>
      <c r="AB21" s="31"/>
      <c r="AC21" s="31"/>
      <c r="AD21" s="31"/>
      <c r="AE21" s="276">
        <f t="shared" si="2"/>
        <v>0</v>
      </c>
    </row>
    <row r="22" ht="15.75" customHeight="1">
      <c r="A22" s="32"/>
      <c r="B22" s="32"/>
      <c r="C22" s="32"/>
      <c r="D22" s="32"/>
      <c r="E22" s="32"/>
      <c r="F22" s="32"/>
      <c r="H22" s="32"/>
      <c r="I22" s="31"/>
      <c r="J22" s="31"/>
      <c r="K22" s="31"/>
      <c r="L22" s="31"/>
      <c r="M22" s="31"/>
      <c r="N22" s="276">
        <f t="shared" si="1"/>
        <v>0</v>
      </c>
      <c r="R22" s="31"/>
      <c r="S22" s="31"/>
      <c r="T22" s="32"/>
      <c r="U22" s="32"/>
      <c r="V22" s="32"/>
      <c r="W22" s="32"/>
      <c r="Y22" s="32"/>
      <c r="Z22" s="31"/>
      <c r="AA22" s="31"/>
      <c r="AB22" s="31"/>
      <c r="AC22" s="31"/>
      <c r="AD22" s="31"/>
      <c r="AE22" s="276">
        <f t="shared" si="2"/>
        <v>0</v>
      </c>
    </row>
    <row r="23" ht="15.75" customHeight="1">
      <c r="A23" s="32"/>
      <c r="B23" s="32"/>
      <c r="C23" s="32"/>
      <c r="D23" s="32"/>
      <c r="E23" s="32"/>
      <c r="F23" s="32"/>
      <c r="H23" s="32"/>
      <c r="I23" s="31"/>
      <c r="J23" s="31"/>
      <c r="K23" s="31"/>
      <c r="L23" s="31"/>
      <c r="M23" s="31"/>
      <c r="N23" s="276">
        <f t="shared" si="1"/>
        <v>0</v>
      </c>
      <c r="R23" s="32"/>
      <c r="S23" s="32"/>
      <c r="T23" s="32"/>
      <c r="U23" s="32"/>
      <c r="V23" s="32"/>
      <c r="W23" s="32"/>
      <c r="Y23" s="32"/>
      <c r="Z23" s="31"/>
      <c r="AA23" s="31"/>
      <c r="AB23" s="31"/>
      <c r="AC23" s="31"/>
      <c r="AD23" s="31"/>
      <c r="AE23" s="276">
        <f t="shared" si="2"/>
        <v>0</v>
      </c>
    </row>
    <row r="24" ht="15.75" customHeight="1">
      <c r="A24" s="32"/>
      <c r="B24" s="32"/>
      <c r="C24" s="32"/>
      <c r="D24" s="32"/>
      <c r="E24" s="32"/>
      <c r="F24" s="32"/>
      <c r="H24" s="32"/>
      <c r="I24" s="31"/>
      <c r="J24" s="31"/>
      <c r="K24" s="31"/>
      <c r="L24" s="31"/>
      <c r="M24" s="31"/>
      <c r="N24" s="276">
        <f t="shared" si="1"/>
        <v>0</v>
      </c>
      <c r="R24" s="32"/>
      <c r="S24" s="32"/>
      <c r="T24" s="32"/>
      <c r="U24" s="32"/>
      <c r="V24" s="32"/>
      <c r="W24" s="32"/>
      <c r="Y24" s="32"/>
      <c r="Z24" s="31"/>
      <c r="AA24" s="31"/>
      <c r="AB24" s="31"/>
      <c r="AC24" s="31"/>
      <c r="AD24" s="31"/>
      <c r="AE24" s="276">
        <f t="shared" si="2"/>
        <v>0</v>
      </c>
    </row>
    <row r="25" ht="15.75" customHeight="1">
      <c r="A25" s="32"/>
      <c r="B25" s="32"/>
      <c r="C25" s="32"/>
      <c r="D25" s="32"/>
      <c r="E25" s="32"/>
      <c r="F25" s="32"/>
      <c r="H25" s="32"/>
      <c r="I25" s="31"/>
      <c r="J25" s="31"/>
      <c r="K25" s="31"/>
      <c r="L25" s="31"/>
      <c r="M25" s="31"/>
      <c r="N25" s="276">
        <f t="shared" si="1"/>
        <v>0</v>
      </c>
      <c r="R25" s="32"/>
      <c r="S25" s="32"/>
      <c r="T25" s="32"/>
      <c r="U25" s="32"/>
      <c r="V25" s="32"/>
      <c r="W25" s="32"/>
      <c r="Y25" s="32"/>
      <c r="Z25" s="31"/>
      <c r="AA25" s="31"/>
      <c r="AB25" s="31"/>
      <c r="AC25" s="31"/>
      <c r="AD25" s="31"/>
      <c r="AE25" s="276">
        <f t="shared" si="2"/>
        <v>0</v>
      </c>
    </row>
    <row r="26" ht="15.75" customHeight="1">
      <c r="A26" s="32"/>
      <c r="B26" s="32"/>
      <c r="C26" s="32"/>
      <c r="D26" s="32"/>
      <c r="E26" s="32"/>
      <c r="F26" s="32"/>
      <c r="H26" s="32"/>
      <c r="I26" s="31"/>
      <c r="J26" s="31"/>
      <c r="K26" s="31"/>
      <c r="L26" s="31"/>
      <c r="M26" s="31"/>
      <c r="N26" s="276">
        <f t="shared" si="1"/>
        <v>0</v>
      </c>
      <c r="R26" s="32"/>
      <c r="S26" s="32"/>
      <c r="T26" s="32"/>
      <c r="U26" s="32"/>
      <c r="V26" s="32"/>
      <c r="W26" s="32"/>
      <c r="Y26" s="32"/>
      <c r="Z26" s="31"/>
      <c r="AA26" s="31"/>
      <c r="AB26" s="31"/>
      <c r="AC26" s="31"/>
      <c r="AD26" s="31"/>
      <c r="AE26" s="276">
        <f t="shared" si="2"/>
        <v>0</v>
      </c>
    </row>
    <row r="27" ht="15.75" customHeight="1">
      <c r="A27" s="32"/>
      <c r="B27" s="32"/>
      <c r="C27" s="32"/>
      <c r="D27" s="32"/>
      <c r="E27" s="32"/>
      <c r="F27" s="32"/>
      <c r="H27" s="32"/>
      <c r="I27" s="31"/>
      <c r="J27" s="31"/>
      <c r="K27" s="31"/>
      <c r="L27" s="31"/>
      <c r="M27" s="31"/>
      <c r="N27" s="276">
        <f t="shared" si="1"/>
        <v>0</v>
      </c>
      <c r="R27" s="32"/>
      <c r="S27" s="32"/>
      <c r="T27" s="32"/>
      <c r="U27" s="32"/>
      <c r="V27" s="32"/>
      <c r="W27" s="32"/>
      <c r="Y27" s="32"/>
      <c r="Z27" s="31"/>
      <c r="AA27" s="31"/>
      <c r="AB27" s="31"/>
      <c r="AC27" s="31"/>
      <c r="AD27" s="31"/>
      <c r="AE27" s="276">
        <f t="shared" si="2"/>
        <v>0</v>
      </c>
    </row>
    <row r="28" ht="15.75" customHeight="1">
      <c r="A28" s="32"/>
      <c r="B28" s="32"/>
      <c r="C28" s="32"/>
      <c r="D28" s="32"/>
      <c r="E28" s="32"/>
      <c r="F28" s="32"/>
      <c r="H28" s="32"/>
      <c r="I28" s="31"/>
      <c r="J28" s="31"/>
      <c r="K28" s="31"/>
      <c r="L28" s="31"/>
      <c r="M28" s="31"/>
      <c r="N28" s="276">
        <f t="shared" si="1"/>
        <v>0</v>
      </c>
      <c r="R28" s="32"/>
      <c r="S28" s="32"/>
      <c r="T28" s="32"/>
      <c r="U28" s="32"/>
      <c r="V28" s="32"/>
      <c r="W28" s="32"/>
      <c r="Y28" s="32"/>
      <c r="Z28" s="31"/>
      <c r="AA28" s="31"/>
      <c r="AB28" s="31"/>
      <c r="AC28" s="31"/>
      <c r="AD28" s="31"/>
      <c r="AE28" s="276">
        <f t="shared" si="2"/>
        <v>0</v>
      </c>
    </row>
    <row r="29" ht="15.75" customHeight="1">
      <c r="A29" s="32"/>
      <c r="B29" s="32"/>
      <c r="C29" s="32"/>
      <c r="D29" s="32"/>
      <c r="E29" s="32"/>
      <c r="F29" s="32"/>
      <c r="H29" s="32"/>
      <c r="I29" s="31"/>
      <c r="J29" s="31"/>
      <c r="K29" s="31"/>
      <c r="L29" s="31"/>
      <c r="M29" s="31"/>
      <c r="N29" s="276">
        <f t="shared" si="1"/>
        <v>0</v>
      </c>
      <c r="R29" s="32"/>
      <c r="S29" s="32"/>
      <c r="T29" s="32"/>
      <c r="U29" s="32"/>
      <c r="V29" s="32"/>
      <c r="W29" s="32"/>
      <c r="Y29" s="32"/>
      <c r="Z29" s="31"/>
      <c r="AA29" s="31"/>
      <c r="AB29" s="31"/>
      <c r="AC29" s="31"/>
      <c r="AD29" s="31"/>
      <c r="AE29" s="276">
        <f t="shared" si="2"/>
        <v>0</v>
      </c>
    </row>
    <row r="30" ht="15.75" customHeight="1">
      <c r="A30" s="32"/>
      <c r="B30" s="32"/>
      <c r="C30" s="32"/>
      <c r="D30" s="32"/>
      <c r="E30" s="32"/>
      <c r="F30" s="32"/>
      <c r="H30" s="32"/>
      <c r="I30" s="31"/>
      <c r="J30" s="31"/>
      <c r="K30" s="31"/>
      <c r="L30" s="31"/>
      <c r="M30" s="31"/>
      <c r="N30" s="276">
        <f t="shared" si="1"/>
        <v>0</v>
      </c>
      <c r="R30" s="32"/>
      <c r="S30" s="32"/>
      <c r="T30" s="32"/>
      <c r="U30" s="32"/>
      <c r="V30" s="32"/>
      <c r="W30" s="32"/>
      <c r="Y30" s="32"/>
      <c r="Z30" s="31"/>
      <c r="AA30" s="31"/>
      <c r="AB30" s="31"/>
      <c r="AC30" s="31"/>
      <c r="AD30" s="31"/>
      <c r="AE30" s="276">
        <f t="shared" si="2"/>
        <v>0</v>
      </c>
    </row>
    <row r="31" ht="15.75" customHeight="1">
      <c r="A31" s="32"/>
      <c r="B31" s="32"/>
      <c r="C31" s="32"/>
      <c r="D31" s="32"/>
      <c r="E31" s="32"/>
      <c r="F31" s="32"/>
      <c r="H31" s="32"/>
      <c r="I31" s="32"/>
      <c r="J31" s="32"/>
      <c r="K31" s="32"/>
      <c r="L31" s="32"/>
      <c r="M31" s="32"/>
      <c r="N31" s="276">
        <f t="shared" si="1"/>
        <v>0</v>
      </c>
      <c r="R31" s="32"/>
      <c r="S31" s="32"/>
      <c r="T31" s="32"/>
      <c r="U31" s="32"/>
      <c r="V31" s="32"/>
      <c r="W31" s="32"/>
      <c r="Y31" s="32"/>
      <c r="Z31" s="32"/>
      <c r="AA31" s="32"/>
      <c r="AB31" s="32"/>
      <c r="AC31" s="32"/>
      <c r="AD31" s="32"/>
      <c r="AE31" s="276">
        <f t="shared" si="2"/>
        <v>0</v>
      </c>
    </row>
    <row r="32" ht="15.75" customHeight="1">
      <c r="A32" s="32"/>
      <c r="B32" s="32"/>
      <c r="C32" s="32"/>
      <c r="D32" s="32"/>
      <c r="E32" s="32"/>
      <c r="F32" s="32"/>
      <c r="H32" s="32"/>
      <c r="I32" s="32"/>
      <c r="J32" s="32"/>
      <c r="K32" s="32"/>
      <c r="L32" s="32"/>
      <c r="M32" s="32"/>
      <c r="N32" s="276">
        <f t="shared" si="1"/>
        <v>0</v>
      </c>
      <c r="R32" s="32"/>
      <c r="S32" s="32"/>
      <c r="T32" s="32"/>
      <c r="U32" s="32"/>
      <c r="V32" s="32"/>
      <c r="W32" s="32"/>
      <c r="Y32" s="32"/>
      <c r="Z32" s="32"/>
      <c r="AA32" s="32"/>
      <c r="AB32" s="32"/>
      <c r="AC32" s="32"/>
      <c r="AD32" s="32"/>
      <c r="AE32" s="276">
        <f t="shared" si="2"/>
        <v>0</v>
      </c>
      <c r="AJ32" s="129"/>
    </row>
    <row r="33" ht="15.75" customHeight="1">
      <c r="A33" s="32"/>
      <c r="B33" s="32"/>
      <c r="C33" s="32"/>
      <c r="D33" s="32"/>
      <c r="E33" s="32"/>
      <c r="F33" s="32"/>
      <c r="H33" s="281" t="s">
        <v>21</v>
      </c>
      <c r="I33" s="106"/>
      <c r="J33" s="106"/>
      <c r="K33" s="106"/>
      <c r="L33" s="106"/>
      <c r="M33" s="106"/>
      <c r="N33" s="107"/>
      <c r="R33" s="32"/>
      <c r="S33" s="32"/>
      <c r="T33" s="32"/>
      <c r="U33" s="32"/>
      <c r="V33" s="32"/>
      <c r="W33" s="32"/>
      <c r="Y33" s="281" t="s">
        <v>21</v>
      </c>
      <c r="Z33" s="106"/>
      <c r="AA33" s="106"/>
      <c r="AB33" s="106"/>
      <c r="AC33" s="106"/>
      <c r="AD33" s="106"/>
      <c r="AE33" s="107"/>
      <c r="AJ33" s="129"/>
      <c r="AK33" s="129"/>
    </row>
    <row r="34" ht="15.75" customHeight="1">
      <c r="A34" s="32"/>
      <c r="B34" s="32"/>
      <c r="C34" s="32"/>
      <c r="D34" s="32"/>
      <c r="E34" s="32"/>
      <c r="F34" s="32"/>
      <c r="H34" s="276"/>
      <c r="I34" s="276"/>
      <c r="J34" s="276"/>
      <c r="K34" s="276"/>
      <c r="L34" s="276"/>
      <c r="M34" s="281">
        <f>SUM(N4:N32)</f>
        <v>0</v>
      </c>
      <c r="N34" s="107"/>
      <c r="R34" s="32"/>
      <c r="S34" s="32"/>
      <c r="T34" s="32"/>
      <c r="U34" s="32"/>
      <c r="V34" s="32"/>
      <c r="W34" s="32"/>
      <c r="Y34" s="276"/>
      <c r="Z34" s="276"/>
      <c r="AA34" s="276"/>
      <c r="AB34" s="276"/>
      <c r="AC34" s="276"/>
      <c r="AD34" s="281">
        <f>SUM(AE4:AE32)</f>
        <v>0</v>
      </c>
      <c r="AE34" s="107"/>
      <c r="AJ34" s="129"/>
      <c r="AK34" s="129"/>
    </row>
    <row r="35" ht="15.75" customHeight="1">
      <c r="A35" s="32"/>
      <c r="B35" s="32"/>
      <c r="C35" s="32"/>
      <c r="D35" s="32"/>
      <c r="E35" s="32"/>
      <c r="F35" s="32"/>
      <c r="R35" s="32"/>
      <c r="S35" s="32"/>
      <c r="T35" s="32"/>
      <c r="U35" s="32"/>
      <c r="V35" s="32"/>
      <c r="W35" s="32"/>
      <c r="AJ35" s="129"/>
      <c r="AK35" s="129"/>
    </row>
    <row r="36" ht="15.75" customHeight="1">
      <c r="A36" s="32"/>
      <c r="B36" s="32"/>
      <c r="C36" s="32"/>
      <c r="D36" s="32"/>
      <c r="E36" s="32"/>
      <c r="F36" s="32"/>
      <c r="H36" s="282" t="s">
        <v>22</v>
      </c>
      <c r="I36" s="64"/>
      <c r="J36" s="64"/>
      <c r="K36" s="64"/>
      <c r="L36" s="64"/>
      <c r="M36" s="64"/>
      <c r="N36" s="64"/>
      <c r="R36" s="32"/>
      <c r="S36" s="32"/>
      <c r="T36" s="32"/>
      <c r="U36" s="32"/>
      <c r="V36" s="32"/>
      <c r="W36" s="32"/>
      <c r="Y36" s="282" t="s">
        <v>22</v>
      </c>
      <c r="Z36" s="64"/>
      <c r="AA36" s="64"/>
      <c r="AB36" s="64"/>
      <c r="AC36" s="64"/>
      <c r="AD36" s="64"/>
      <c r="AE36" s="64"/>
      <c r="AJ36" s="129"/>
      <c r="AK36" s="129"/>
    </row>
    <row r="37" ht="15.75" customHeight="1">
      <c r="A37" s="32"/>
      <c r="B37" s="32"/>
      <c r="C37" s="32"/>
      <c r="D37" s="32"/>
      <c r="E37" s="32"/>
      <c r="F37" s="32"/>
      <c r="R37" s="32"/>
      <c r="S37" s="32"/>
      <c r="T37" s="32"/>
      <c r="U37" s="32"/>
      <c r="V37" s="32"/>
      <c r="W37" s="32"/>
      <c r="AJ37" s="129"/>
      <c r="AK37" s="129"/>
    </row>
    <row r="38" ht="15.75" customHeight="1">
      <c r="A38" s="32"/>
      <c r="B38" s="32"/>
      <c r="C38" s="32"/>
      <c r="D38" s="32"/>
      <c r="E38" s="32"/>
      <c r="F38" s="32"/>
      <c r="R38" s="32"/>
      <c r="S38" s="32"/>
      <c r="T38" s="32"/>
      <c r="U38" s="32"/>
      <c r="V38" s="32"/>
      <c r="W38" s="32"/>
      <c r="AJ38" s="129"/>
      <c r="AK38" s="129"/>
    </row>
    <row r="39" ht="15.75" customHeight="1">
      <c r="A39" s="32"/>
      <c r="B39" s="32"/>
      <c r="C39" s="32"/>
      <c r="D39" s="32"/>
      <c r="E39" s="32"/>
      <c r="F39" s="32"/>
      <c r="R39" s="32"/>
      <c r="S39" s="32"/>
      <c r="T39" s="32"/>
      <c r="U39" s="32"/>
      <c r="V39" s="32"/>
      <c r="W39" s="32"/>
      <c r="AJ39" s="129"/>
      <c r="AK39" s="129"/>
    </row>
    <row r="40" ht="15.75" customHeight="1">
      <c r="A40" s="32"/>
      <c r="B40" s="32"/>
      <c r="C40" s="32"/>
      <c r="D40" s="32"/>
      <c r="E40" s="32"/>
      <c r="F40" s="32"/>
      <c r="R40" s="32"/>
      <c r="S40" s="32"/>
      <c r="T40" s="32"/>
      <c r="U40" s="32"/>
      <c r="V40" s="32"/>
      <c r="W40" s="32"/>
      <c r="AJ40" s="129"/>
      <c r="AK40" s="129"/>
    </row>
    <row r="41" ht="15.75" customHeight="1">
      <c r="A41" s="32"/>
      <c r="B41" s="32"/>
      <c r="C41" s="32"/>
      <c r="D41" s="32"/>
      <c r="E41" s="32"/>
      <c r="F41" s="32"/>
      <c r="R41" s="32"/>
      <c r="S41" s="32"/>
      <c r="T41" s="32"/>
      <c r="U41" s="32"/>
      <c r="V41" s="32"/>
      <c r="W41" s="32"/>
      <c r="AJ41" s="129"/>
      <c r="AK41" s="129"/>
    </row>
    <row r="42" ht="15.75" customHeight="1">
      <c r="A42" s="32"/>
      <c r="B42" s="32"/>
      <c r="C42" s="32"/>
      <c r="D42" s="32"/>
      <c r="E42" s="32"/>
      <c r="F42" s="32"/>
      <c r="R42" s="32"/>
      <c r="S42" s="32"/>
      <c r="T42" s="32"/>
      <c r="U42" s="32"/>
      <c r="V42" s="32"/>
      <c r="W42" s="32"/>
      <c r="AJ42" s="129"/>
      <c r="AK42" s="129"/>
    </row>
    <row r="43" ht="15.75" customHeight="1">
      <c r="A43" s="32"/>
      <c r="B43" s="32"/>
      <c r="C43" s="32"/>
      <c r="D43" s="32"/>
      <c r="E43" s="32"/>
      <c r="F43" s="32"/>
      <c r="R43" s="32"/>
      <c r="S43" s="32"/>
      <c r="T43" s="32"/>
      <c r="U43" s="32"/>
      <c r="V43" s="32"/>
      <c r="W43" s="32"/>
      <c r="AJ43" s="129"/>
      <c r="AK43" s="129"/>
    </row>
    <row r="44" ht="15.75" customHeight="1">
      <c r="A44" s="32"/>
      <c r="B44" s="32"/>
      <c r="C44" s="32"/>
      <c r="D44" s="32"/>
      <c r="E44" s="32"/>
      <c r="F44" s="32"/>
      <c r="R44" s="32"/>
      <c r="S44" s="32"/>
      <c r="T44" s="32"/>
      <c r="U44" s="32"/>
      <c r="V44" s="32"/>
      <c r="W44" s="32"/>
      <c r="AJ44" s="129"/>
      <c r="AK44" s="129"/>
    </row>
    <row r="45" ht="15.75" customHeight="1">
      <c r="A45" s="32"/>
      <c r="B45" s="32"/>
      <c r="C45" s="32"/>
      <c r="D45" s="32"/>
      <c r="E45" s="32"/>
      <c r="F45" s="32"/>
      <c r="H45" s="283" t="s">
        <v>1</v>
      </c>
      <c r="I45" s="12"/>
      <c r="J45" s="12"/>
      <c r="K45" s="12"/>
      <c r="L45" s="12"/>
      <c r="M45" s="12"/>
      <c r="N45" s="13"/>
      <c r="R45" s="32"/>
      <c r="S45" s="32"/>
      <c r="T45" s="32"/>
      <c r="U45" s="32"/>
      <c r="V45" s="32"/>
      <c r="W45" s="32"/>
      <c r="Y45" s="283" t="s">
        <v>1</v>
      </c>
      <c r="Z45" s="12"/>
      <c r="AA45" s="12"/>
      <c r="AB45" s="12"/>
      <c r="AC45" s="12"/>
      <c r="AD45" s="12"/>
      <c r="AE45" s="13"/>
      <c r="AJ45" s="129"/>
      <c r="AK45" s="129"/>
    </row>
    <row r="46" ht="15.75" customHeight="1">
      <c r="A46" s="32"/>
      <c r="B46" s="32"/>
      <c r="C46" s="32"/>
      <c r="D46" s="32"/>
      <c r="E46" s="32"/>
      <c r="F46" s="32"/>
      <c r="H46" s="63"/>
      <c r="I46" s="64"/>
      <c r="J46" s="64"/>
      <c r="K46" s="64"/>
      <c r="L46" s="64"/>
      <c r="M46" s="64"/>
      <c r="N46" s="65"/>
      <c r="R46" s="32"/>
      <c r="S46" s="32"/>
      <c r="T46" s="32"/>
      <c r="U46" s="32"/>
      <c r="V46" s="32"/>
      <c r="W46" s="32"/>
      <c r="Y46" s="63"/>
      <c r="Z46" s="64"/>
      <c r="AA46" s="64"/>
      <c r="AB46" s="64"/>
      <c r="AC46" s="64"/>
      <c r="AD46" s="64"/>
      <c r="AE46" s="65"/>
      <c r="AJ46" s="129"/>
      <c r="AK46" s="129"/>
    </row>
    <row r="47" ht="15.75" customHeight="1">
      <c r="A47" s="32"/>
      <c r="B47" s="32"/>
      <c r="C47" s="32"/>
      <c r="D47" s="32"/>
      <c r="E47" s="32"/>
      <c r="F47" s="32"/>
      <c r="R47" s="32"/>
      <c r="S47" s="32"/>
      <c r="T47" s="32"/>
      <c r="U47" s="32"/>
      <c r="V47" s="32"/>
      <c r="W47" s="32"/>
      <c r="AJ47" s="129"/>
      <c r="AK47" s="129"/>
    </row>
    <row r="48" ht="15.75" customHeight="1">
      <c r="A48" s="31"/>
      <c r="B48" s="31"/>
      <c r="C48" s="32"/>
      <c r="D48" s="32"/>
      <c r="E48" s="32"/>
      <c r="F48" s="32"/>
      <c r="H48" s="284" t="s">
        <v>3</v>
      </c>
      <c r="I48" s="222" t="s">
        <v>9</v>
      </c>
      <c r="J48" s="5"/>
      <c r="K48" s="6"/>
      <c r="L48" s="222" t="s">
        <v>10</v>
      </c>
      <c r="M48" s="5"/>
      <c r="N48" s="6"/>
      <c r="R48" s="32"/>
      <c r="S48" s="32"/>
      <c r="T48" s="32"/>
      <c r="U48" s="32"/>
      <c r="V48" s="32"/>
      <c r="W48" s="32"/>
      <c r="Y48" s="284" t="s">
        <v>3</v>
      </c>
      <c r="Z48" s="222" t="s">
        <v>9</v>
      </c>
      <c r="AA48" s="5"/>
      <c r="AB48" s="6"/>
      <c r="AC48" s="222" t="s">
        <v>10</v>
      </c>
      <c r="AD48" s="5"/>
      <c r="AE48" s="6"/>
      <c r="AJ48" s="129"/>
      <c r="AK48" s="129"/>
    </row>
    <row r="49" ht="15.75" customHeight="1">
      <c r="A49" s="32"/>
      <c r="B49" s="32"/>
      <c r="C49" s="32"/>
      <c r="D49" s="32"/>
      <c r="E49" s="32"/>
      <c r="F49" s="32"/>
      <c r="H49" s="285">
        <f>SUM(B55,M34)</f>
        <v>0</v>
      </c>
      <c r="I49" s="286">
        <f>COUNT(F4:F53,I4:M32)</f>
        <v>0</v>
      </c>
      <c r="J49" s="12"/>
      <c r="K49" s="13"/>
      <c r="L49" s="286">
        <f>SUM(F4:F53)+COUNT(I4:M32)</f>
        <v>0</v>
      </c>
      <c r="M49" s="12"/>
      <c r="N49" s="13"/>
      <c r="R49" s="32"/>
      <c r="S49" s="32"/>
      <c r="T49" s="32"/>
      <c r="U49" s="32"/>
      <c r="V49" s="32"/>
      <c r="W49" s="32"/>
      <c r="Y49" s="285">
        <f>SUM(S52,AD34)</f>
        <v>0</v>
      </c>
      <c r="Z49" s="286">
        <f>COUNT(W4:W50,Z4:AD32)</f>
        <v>0</v>
      </c>
      <c r="AA49" s="12"/>
      <c r="AB49" s="13"/>
      <c r="AC49" s="286">
        <f>SUM(W4:W50)+COUNT(Z4:AD32)</f>
        <v>0</v>
      </c>
      <c r="AD49" s="12"/>
      <c r="AE49" s="13"/>
      <c r="AJ49" s="129"/>
      <c r="AK49" s="129"/>
    </row>
    <row r="50" ht="15.75" customHeight="1">
      <c r="A50" s="32"/>
      <c r="B50" s="32"/>
      <c r="C50" s="32"/>
      <c r="D50" s="32"/>
      <c r="E50" s="32"/>
      <c r="F50" s="32"/>
      <c r="H50" s="69"/>
      <c r="I50" s="63"/>
      <c r="J50" s="64"/>
      <c r="K50" s="65"/>
      <c r="L50" s="63"/>
      <c r="M50" s="64"/>
      <c r="N50" s="65"/>
      <c r="R50" s="136"/>
      <c r="S50" s="136"/>
      <c r="T50" s="136"/>
      <c r="U50" s="136"/>
      <c r="V50" s="136"/>
      <c r="W50" s="136"/>
      <c r="Y50" s="69"/>
      <c r="Z50" s="63"/>
      <c r="AA50" s="64"/>
      <c r="AB50" s="65"/>
      <c r="AC50" s="63"/>
      <c r="AD50" s="64"/>
      <c r="AE50" s="65"/>
      <c r="AJ50" s="129"/>
      <c r="AK50" s="129"/>
    </row>
    <row r="51" ht="15.75" customHeight="1">
      <c r="A51" s="32"/>
      <c r="B51" s="32"/>
      <c r="C51" s="32"/>
      <c r="D51" s="32"/>
      <c r="E51" s="32"/>
      <c r="F51" s="32"/>
      <c r="R51" s="287" t="s">
        <v>1</v>
      </c>
      <c r="S51" s="5"/>
      <c r="T51" s="5"/>
      <c r="U51" s="5"/>
      <c r="V51" s="5"/>
      <c r="W51" s="5"/>
      <c r="AJ51" s="129"/>
      <c r="AK51" s="129"/>
    </row>
    <row r="52" ht="15.75" customHeight="1">
      <c r="A52" s="32"/>
      <c r="B52" s="32"/>
      <c r="C52" s="32"/>
      <c r="D52" s="32"/>
      <c r="E52" s="32"/>
      <c r="F52" s="32"/>
      <c r="R52" s="222"/>
      <c r="S52" s="288">
        <f>SUM(S4:S50)</f>
        <v>0</v>
      </c>
      <c r="T52" s="289" t="s">
        <v>11</v>
      </c>
      <c r="U52" s="289"/>
      <c r="V52" s="289"/>
      <c r="W52" s="288">
        <f>SUM(W4:W50)</f>
        <v>0</v>
      </c>
      <c r="AJ52" s="129"/>
      <c r="AK52" s="129"/>
    </row>
    <row r="53" ht="15.75" customHeight="1">
      <c r="A53" s="136"/>
      <c r="B53" s="136"/>
      <c r="C53" s="136"/>
      <c r="D53" s="136"/>
      <c r="E53" s="136"/>
      <c r="F53" s="136"/>
      <c r="AJ53" s="129"/>
      <c r="AK53" s="129"/>
    </row>
    <row r="54" ht="15.75" customHeight="1">
      <c r="A54" s="287" t="s">
        <v>1</v>
      </c>
      <c r="B54" s="5"/>
      <c r="C54" s="5"/>
      <c r="D54" s="5"/>
      <c r="E54" s="5"/>
      <c r="F54" s="5"/>
      <c r="AJ54" s="129"/>
      <c r="AK54" s="129"/>
    </row>
    <row r="55" ht="15.75" customHeight="1">
      <c r="A55" s="222"/>
      <c r="B55" s="288">
        <f>SUM(B4:B53)</f>
        <v>0</v>
      </c>
      <c r="C55" s="289" t="s">
        <v>11</v>
      </c>
      <c r="D55" s="289"/>
      <c r="E55" s="289"/>
      <c r="F55" s="288">
        <f>SUM(F4:F53)</f>
        <v>0</v>
      </c>
      <c r="AJ55" s="129"/>
      <c r="AK55" s="129"/>
    </row>
    <row r="56" ht="15.75" customHeight="1">
      <c r="AJ56" s="129"/>
      <c r="AK56" s="129"/>
    </row>
    <row r="57" ht="15.75" customHeight="1">
      <c r="AJ57" s="129"/>
      <c r="AK57" s="129"/>
    </row>
    <row r="58" ht="15.75" customHeight="1">
      <c r="AJ58" s="129"/>
      <c r="AK58" s="129"/>
    </row>
    <row r="59" ht="15.75" customHeight="1">
      <c r="AJ59" s="129"/>
      <c r="AK59" s="129"/>
    </row>
    <row r="60" ht="15.75" customHeight="1"/>
    <row r="61" ht="15.75" customHeight="1"/>
    <row r="62" ht="15.75" customHeight="1">
      <c r="A62" s="71" t="s">
        <v>48</v>
      </c>
      <c r="B62" s="266"/>
      <c r="C62" s="266"/>
      <c r="D62" s="267"/>
      <c r="E62" s="268" t="s">
        <v>49</v>
      </c>
      <c r="F62" s="5"/>
      <c r="G62" s="266"/>
      <c r="H62" s="266"/>
      <c r="I62" s="266"/>
      <c r="J62" s="120">
        <f>TODAY()+2</f>
        <v>46175</v>
      </c>
      <c r="K62" s="5"/>
      <c r="L62" s="5"/>
      <c r="M62" s="5"/>
      <c r="N62" s="6"/>
      <c r="R62" s="71" t="s">
        <v>46</v>
      </c>
      <c r="S62" s="266"/>
      <c r="T62" s="266"/>
      <c r="U62" s="267"/>
      <c r="V62" s="267"/>
      <c r="W62" s="268">
        <f>TODAY()+1</f>
        <v>46174</v>
      </c>
      <c r="X62" s="5"/>
      <c r="Y62" s="266"/>
      <c r="Z62" s="266"/>
      <c r="AA62" s="120">
        <f>TODAY()+1</f>
        <v>46174</v>
      </c>
      <c r="AB62" s="5"/>
      <c r="AC62" s="5"/>
      <c r="AD62" s="5"/>
      <c r="AE62" s="6"/>
      <c r="AG62" s="71" t="s">
        <v>47</v>
      </c>
      <c r="AH62" s="266"/>
      <c r="AI62" s="266"/>
      <c r="AJ62" s="267"/>
      <c r="AK62" s="267"/>
      <c r="AL62" s="268">
        <f>TODAY()+1</f>
        <v>46174</v>
      </c>
      <c r="AM62" s="5"/>
      <c r="AN62" s="266"/>
      <c r="AO62" s="266"/>
      <c r="AP62" s="120">
        <f>TODAY()+1</f>
        <v>46174</v>
      </c>
      <c r="AQ62" s="5"/>
      <c r="AR62" s="5"/>
      <c r="AS62" s="5"/>
      <c r="AT62" s="6"/>
    </row>
    <row r="63" ht="15.75" customHeight="1">
      <c r="A63" s="269" t="s">
        <v>2</v>
      </c>
      <c r="B63" s="270" t="s">
        <v>3</v>
      </c>
      <c r="C63" s="270" t="s">
        <v>4</v>
      </c>
      <c r="D63" s="270" t="s">
        <v>5</v>
      </c>
      <c r="E63" s="270" t="s">
        <v>6</v>
      </c>
      <c r="F63" s="271" t="s">
        <v>7</v>
      </c>
      <c r="G63" s="272"/>
      <c r="H63" s="273" t="s">
        <v>2</v>
      </c>
      <c r="I63" s="274"/>
      <c r="J63" s="274"/>
      <c r="K63" s="274"/>
      <c r="L63" s="274"/>
      <c r="M63" s="274"/>
      <c r="N63" s="275" t="s">
        <v>3</v>
      </c>
      <c r="R63" s="269" t="s">
        <v>2</v>
      </c>
      <c r="S63" s="270" t="s">
        <v>3</v>
      </c>
      <c r="T63" s="270" t="s">
        <v>4</v>
      </c>
      <c r="U63" s="270" t="s">
        <v>5</v>
      </c>
      <c r="V63" s="270" t="s">
        <v>6</v>
      </c>
      <c r="W63" s="271" t="s">
        <v>7</v>
      </c>
      <c r="X63" s="272"/>
      <c r="Y63" s="273" t="s">
        <v>2</v>
      </c>
      <c r="Z63" s="274"/>
      <c r="AA63" s="274"/>
      <c r="AB63" s="274"/>
      <c r="AC63" s="274"/>
      <c r="AD63" s="274"/>
      <c r="AE63" s="275" t="s">
        <v>3</v>
      </c>
      <c r="AG63" s="269" t="s">
        <v>2</v>
      </c>
      <c r="AH63" s="270" t="s">
        <v>3</v>
      </c>
      <c r="AI63" s="270" t="s">
        <v>4</v>
      </c>
      <c r="AJ63" s="270" t="s">
        <v>5</v>
      </c>
      <c r="AK63" s="270" t="s">
        <v>6</v>
      </c>
      <c r="AL63" s="271" t="s">
        <v>7</v>
      </c>
      <c r="AM63" s="272"/>
      <c r="AN63" s="273" t="s">
        <v>2</v>
      </c>
      <c r="AO63" s="274"/>
      <c r="AP63" s="274"/>
      <c r="AQ63" s="274"/>
      <c r="AR63" s="274"/>
      <c r="AS63" s="274"/>
      <c r="AT63" s="275" t="s">
        <v>3</v>
      </c>
    </row>
    <row r="64" ht="15.75" customHeight="1">
      <c r="A64" s="32"/>
      <c r="B64" s="32"/>
      <c r="C64" s="32"/>
      <c r="D64" s="32"/>
      <c r="E64" s="32"/>
      <c r="F64" s="32"/>
      <c r="H64" s="31"/>
      <c r="I64" s="31"/>
      <c r="J64" s="31"/>
      <c r="K64" s="31"/>
      <c r="L64" s="31"/>
      <c r="M64" s="31"/>
      <c r="N64" s="277">
        <f t="shared" ref="N64:N92" si="3">SUM(I64:M64)</f>
        <v>0</v>
      </c>
      <c r="Q64" s="290"/>
      <c r="R64" s="291"/>
      <c r="S64" s="291"/>
      <c r="T64" s="291"/>
      <c r="U64" s="291"/>
      <c r="V64" s="291"/>
      <c r="W64" s="291"/>
      <c r="X64" s="124"/>
      <c r="Y64" s="292"/>
      <c r="Z64" s="292"/>
      <c r="AA64" s="292"/>
      <c r="AB64" s="292"/>
      <c r="AC64" s="293"/>
      <c r="AD64" s="293"/>
      <c r="AE64" s="277">
        <f t="shared" ref="AE64:AE92" si="4">SUM(Z64:AD64)</f>
        <v>0</v>
      </c>
      <c r="AG64" s="294"/>
      <c r="AH64" s="294"/>
      <c r="AI64" s="294"/>
      <c r="AJ64" s="294"/>
      <c r="AK64" s="294"/>
      <c r="AL64" s="294"/>
      <c r="AN64" s="293"/>
      <c r="AO64" s="293"/>
      <c r="AP64" s="293"/>
      <c r="AQ64" s="293"/>
      <c r="AR64" s="293"/>
      <c r="AS64" s="293"/>
      <c r="AT64" s="277">
        <f t="shared" ref="AT64:AT92" si="5">SUM(AO64:AS64)</f>
        <v>0</v>
      </c>
    </row>
    <row r="65" ht="15.75" customHeight="1">
      <c r="A65" s="31"/>
      <c r="B65" s="31"/>
      <c r="C65" s="32"/>
      <c r="D65" s="32"/>
      <c r="E65" s="32"/>
      <c r="F65" s="32"/>
      <c r="H65" s="32"/>
      <c r="I65" s="31"/>
      <c r="J65" s="31"/>
      <c r="K65" s="31"/>
      <c r="L65" s="31"/>
      <c r="M65" s="31"/>
      <c r="N65" s="276">
        <f t="shared" si="3"/>
        <v>0</v>
      </c>
      <c r="R65" s="291"/>
      <c r="S65" s="291"/>
      <c r="T65" s="291"/>
      <c r="U65" s="291"/>
      <c r="V65" s="291"/>
      <c r="W65" s="291"/>
      <c r="X65" s="124"/>
      <c r="Y65" s="291"/>
      <c r="Z65" s="292"/>
      <c r="AA65" s="292"/>
      <c r="AB65" s="292"/>
      <c r="AC65" s="293"/>
      <c r="AD65" s="293"/>
      <c r="AE65" s="276">
        <f t="shared" si="4"/>
        <v>0</v>
      </c>
      <c r="AG65" s="294"/>
      <c r="AH65" s="294"/>
      <c r="AI65" s="294"/>
      <c r="AJ65" s="294"/>
      <c r="AK65" s="294"/>
      <c r="AL65" s="294"/>
      <c r="AN65" s="294"/>
      <c r="AO65" s="293"/>
      <c r="AP65" s="293"/>
      <c r="AQ65" s="293"/>
      <c r="AR65" s="293"/>
      <c r="AS65" s="293"/>
      <c r="AT65" s="276">
        <f t="shared" si="5"/>
        <v>0</v>
      </c>
    </row>
    <row r="66" ht="15.75" customHeight="1">
      <c r="A66" s="32"/>
      <c r="B66" s="32"/>
      <c r="C66" s="32"/>
      <c r="D66" s="32"/>
      <c r="E66" s="32"/>
      <c r="F66" s="32"/>
      <c r="H66" s="32"/>
      <c r="I66" s="31"/>
      <c r="J66" s="31"/>
      <c r="K66" s="31"/>
      <c r="L66" s="31"/>
      <c r="M66" s="31"/>
      <c r="N66" s="276">
        <f t="shared" si="3"/>
        <v>0</v>
      </c>
      <c r="R66" s="291"/>
      <c r="S66" s="291"/>
      <c r="T66" s="291"/>
      <c r="U66" s="291"/>
      <c r="V66" s="291"/>
      <c r="W66" s="291"/>
      <c r="X66" s="124"/>
      <c r="Y66" s="291"/>
      <c r="Z66" s="292"/>
      <c r="AA66" s="292"/>
      <c r="AB66" s="292"/>
      <c r="AC66" s="293"/>
      <c r="AD66" s="293"/>
      <c r="AE66" s="276">
        <f t="shared" si="4"/>
        <v>0</v>
      </c>
      <c r="AG66" s="294"/>
      <c r="AH66" s="294"/>
      <c r="AI66" s="294"/>
      <c r="AJ66" s="294"/>
      <c r="AK66" s="294"/>
      <c r="AL66" s="294"/>
      <c r="AN66" s="294"/>
      <c r="AO66" s="293"/>
      <c r="AP66" s="293"/>
      <c r="AQ66" s="293"/>
      <c r="AR66" s="293"/>
      <c r="AS66" s="293"/>
      <c r="AT66" s="276">
        <f t="shared" si="5"/>
        <v>0</v>
      </c>
    </row>
    <row r="67" ht="15.75" customHeight="1">
      <c r="A67" s="32"/>
      <c r="B67" s="32"/>
      <c r="C67" s="32"/>
      <c r="D67" s="32"/>
      <c r="E67" s="32"/>
      <c r="F67" s="32"/>
      <c r="H67" s="32"/>
      <c r="I67" s="31"/>
      <c r="J67" s="31"/>
      <c r="K67" s="31"/>
      <c r="L67" s="31"/>
      <c r="M67" s="31"/>
      <c r="N67" s="276">
        <f t="shared" si="3"/>
        <v>0</v>
      </c>
      <c r="R67" s="291"/>
      <c r="S67" s="291"/>
      <c r="T67" s="291"/>
      <c r="U67" s="291"/>
      <c r="V67" s="291"/>
      <c r="W67" s="291"/>
      <c r="X67" s="124"/>
      <c r="Y67" s="291"/>
      <c r="Z67" s="292"/>
      <c r="AA67" s="292"/>
      <c r="AB67" s="292"/>
      <c r="AC67" s="293"/>
      <c r="AD67" s="293"/>
      <c r="AE67" s="276">
        <f t="shared" si="4"/>
        <v>0</v>
      </c>
      <c r="AG67" s="294"/>
      <c r="AH67" s="294"/>
      <c r="AI67" s="294"/>
      <c r="AJ67" s="294"/>
      <c r="AK67" s="294"/>
      <c r="AL67" s="294"/>
      <c r="AN67" s="294"/>
      <c r="AO67" s="293"/>
      <c r="AP67" s="293"/>
      <c r="AQ67" s="293"/>
      <c r="AR67" s="293"/>
      <c r="AS67" s="293"/>
      <c r="AT67" s="276">
        <f t="shared" si="5"/>
        <v>0</v>
      </c>
    </row>
    <row r="68" ht="15.75" customHeight="1">
      <c r="A68" s="32"/>
      <c r="B68" s="32"/>
      <c r="C68" s="32"/>
      <c r="D68" s="32"/>
      <c r="E68" s="32"/>
      <c r="F68" s="32"/>
      <c r="H68" s="32"/>
      <c r="I68" s="31"/>
      <c r="J68" s="31"/>
      <c r="K68" s="31"/>
      <c r="L68" s="31"/>
      <c r="M68" s="31"/>
      <c r="N68" s="276">
        <f t="shared" si="3"/>
        <v>0</v>
      </c>
      <c r="R68" s="291"/>
      <c r="S68" s="291"/>
      <c r="T68" s="291"/>
      <c r="U68" s="291"/>
      <c r="V68" s="291"/>
      <c r="W68" s="291"/>
      <c r="X68" s="124"/>
      <c r="Y68" s="291"/>
      <c r="Z68" s="292"/>
      <c r="AA68" s="292"/>
      <c r="AB68" s="292"/>
      <c r="AC68" s="293"/>
      <c r="AD68" s="293"/>
      <c r="AE68" s="276">
        <f t="shared" si="4"/>
        <v>0</v>
      </c>
      <c r="AG68" s="294"/>
      <c r="AH68" s="294"/>
      <c r="AI68" s="294"/>
      <c r="AJ68" s="294"/>
      <c r="AK68" s="294"/>
      <c r="AL68" s="294"/>
      <c r="AN68" s="294"/>
      <c r="AO68" s="293"/>
      <c r="AP68" s="293"/>
      <c r="AQ68" s="293"/>
      <c r="AR68" s="293"/>
      <c r="AS68" s="293"/>
      <c r="AT68" s="276">
        <f t="shared" si="5"/>
        <v>0</v>
      </c>
    </row>
    <row r="69" ht="15.75" customHeight="1">
      <c r="A69" s="32"/>
      <c r="B69" s="31"/>
      <c r="C69" s="32"/>
      <c r="D69" s="32"/>
      <c r="E69" s="32"/>
      <c r="F69" s="32"/>
      <c r="H69" s="32"/>
      <c r="I69" s="31"/>
      <c r="J69" s="31"/>
      <c r="K69" s="31"/>
      <c r="L69" s="31"/>
      <c r="M69" s="31"/>
      <c r="N69" s="276">
        <f t="shared" si="3"/>
        <v>0</v>
      </c>
      <c r="R69" s="291"/>
      <c r="S69" s="291"/>
      <c r="T69" s="291"/>
      <c r="U69" s="291"/>
      <c r="V69" s="291"/>
      <c r="W69" s="291"/>
      <c r="X69" s="124"/>
      <c r="Y69" s="291"/>
      <c r="Z69" s="292"/>
      <c r="AA69" s="292"/>
      <c r="AB69" s="292"/>
      <c r="AC69" s="293"/>
      <c r="AD69" s="293"/>
      <c r="AE69" s="276">
        <f t="shared" si="4"/>
        <v>0</v>
      </c>
      <c r="AG69" s="294"/>
      <c r="AH69" s="294"/>
      <c r="AI69" s="294"/>
      <c r="AJ69" s="294"/>
      <c r="AK69" s="294"/>
      <c r="AL69" s="294"/>
      <c r="AN69" s="294"/>
      <c r="AO69" s="293"/>
      <c r="AP69" s="293"/>
      <c r="AQ69" s="293"/>
      <c r="AR69" s="293"/>
      <c r="AS69" s="293"/>
      <c r="AT69" s="276">
        <f t="shared" si="5"/>
        <v>0</v>
      </c>
    </row>
    <row r="70" ht="15.75" customHeight="1">
      <c r="A70" s="32"/>
      <c r="B70" s="32"/>
      <c r="C70" s="32"/>
      <c r="D70" s="32"/>
      <c r="E70" s="32"/>
      <c r="F70" s="32"/>
      <c r="H70" s="32"/>
      <c r="I70" s="31"/>
      <c r="J70" s="31"/>
      <c r="K70" s="31"/>
      <c r="L70" s="31"/>
      <c r="M70" s="31"/>
      <c r="N70" s="276">
        <f t="shared" si="3"/>
        <v>0</v>
      </c>
      <c r="R70" s="292"/>
      <c r="S70" s="292"/>
      <c r="T70" s="291"/>
      <c r="U70" s="291"/>
      <c r="V70" s="291"/>
      <c r="W70" s="291"/>
      <c r="X70" s="124"/>
      <c r="Y70" s="291"/>
      <c r="Z70" s="292"/>
      <c r="AA70" s="292"/>
      <c r="AB70" s="292"/>
      <c r="AC70" s="293"/>
      <c r="AD70" s="293"/>
      <c r="AE70" s="276">
        <f t="shared" si="4"/>
        <v>0</v>
      </c>
      <c r="AG70" s="293"/>
      <c r="AH70" s="293"/>
      <c r="AI70" s="294"/>
      <c r="AJ70" s="294"/>
      <c r="AK70" s="294"/>
      <c r="AL70" s="294"/>
      <c r="AN70" s="294"/>
      <c r="AO70" s="293"/>
      <c r="AP70" s="293"/>
      <c r="AQ70" s="293"/>
      <c r="AR70" s="293"/>
      <c r="AS70" s="293"/>
      <c r="AT70" s="276">
        <f t="shared" si="5"/>
        <v>0</v>
      </c>
    </row>
    <row r="71" ht="15.75" customHeight="1">
      <c r="A71" s="31"/>
      <c r="B71" s="31"/>
      <c r="C71" s="32"/>
      <c r="D71" s="32"/>
      <c r="E71" s="32"/>
      <c r="F71" s="32"/>
      <c r="H71" s="32"/>
      <c r="I71" s="31"/>
      <c r="J71" s="31"/>
      <c r="K71" s="31"/>
      <c r="L71" s="31"/>
      <c r="M71" s="31"/>
      <c r="N71" s="276">
        <f t="shared" si="3"/>
        <v>0</v>
      </c>
      <c r="R71" s="292"/>
      <c r="S71" s="292"/>
      <c r="T71" s="291"/>
      <c r="U71" s="291"/>
      <c r="V71" s="291"/>
      <c r="W71" s="291"/>
      <c r="X71" s="124"/>
      <c r="Y71" s="291"/>
      <c r="Z71" s="292"/>
      <c r="AA71" s="292"/>
      <c r="AB71" s="292"/>
      <c r="AC71" s="293"/>
      <c r="AD71" s="293"/>
      <c r="AE71" s="276">
        <f t="shared" si="4"/>
        <v>0</v>
      </c>
      <c r="AG71" s="293"/>
      <c r="AH71" s="293"/>
      <c r="AI71" s="294"/>
      <c r="AJ71" s="294"/>
      <c r="AK71" s="294"/>
      <c r="AL71" s="294"/>
      <c r="AN71" s="294"/>
      <c r="AO71" s="293"/>
      <c r="AP71" s="293"/>
      <c r="AQ71" s="293"/>
      <c r="AR71" s="293"/>
      <c r="AS71" s="293"/>
      <c r="AT71" s="276">
        <f t="shared" si="5"/>
        <v>0</v>
      </c>
    </row>
    <row r="72" ht="15.75" customHeight="1">
      <c r="A72" s="31"/>
      <c r="B72" s="31"/>
      <c r="C72" s="32"/>
      <c r="D72" s="32"/>
      <c r="E72" s="32"/>
      <c r="F72" s="32"/>
      <c r="H72" s="32"/>
      <c r="I72" s="31"/>
      <c r="J72" s="31"/>
      <c r="K72" s="31"/>
      <c r="L72" s="31"/>
      <c r="M72" s="31"/>
      <c r="N72" s="276">
        <f t="shared" si="3"/>
        <v>0</v>
      </c>
      <c r="R72" s="292"/>
      <c r="S72" s="292"/>
      <c r="T72" s="291"/>
      <c r="U72" s="291"/>
      <c r="V72" s="291"/>
      <c r="W72" s="291"/>
      <c r="X72" s="124"/>
      <c r="Y72" s="291"/>
      <c r="Z72" s="292"/>
      <c r="AA72" s="292"/>
      <c r="AB72" s="292"/>
      <c r="AC72" s="293"/>
      <c r="AD72" s="293"/>
      <c r="AE72" s="276">
        <f t="shared" si="4"/>
        <v>0</v>
      </c>
      <c r="AG72" s="293"/>
      <c r="AH72" s="293"/>
      <c r="AI72" s="294"/>
      <c r="AJ72" s="294"/>
      <c r="AK72" s="294"/>
      <c r="AL72" s="294"/>
      <c r="AN72" s="294"/>
      <c r="AO72" s="293"/>
      <c r="AP72" s="293"/>
      <c r="AQ72" s="293"/>
      <c r="AR72" s="293"/>
      <c r="AS72" s="293"/>
      <c r="AT72" s="276">
        <f t="shared" si="5"/>
        <v>0</v>
      </c>
    </row>
    <row r="73" ht="15.75" customHeight="1">
      <c r="A73" s="32"/>
      <c r="B73" s="32"/>
      <c r="C73" s="32"/>
      <c r="D73" s="32"/>
      <c r="E73" s="32"/>
      <c r="F73" s="32"/>
      <c r="H73" s="32"/>
      <c r="I73" s="31"/>
      <c r="J73" s="31"/>
      <c r="K73" s="31"/>
      <c r="L73" s="31"/>
      <c r="M73" s="31"/>
      <c r="N73" s="276">
        <f t="shared" si="3"/>
        <v>0</v>
      </c>
      <c r="R73" s="291"/>
      <c r="S73" s="291"/>
      <c r="T73" s="291"/>
      <c r="U73" s="291"/>
      <c r="V73" s="291"/>
      <c r="W73" s="291"/>
      <c r="X73" s="124"/>
      <c r="Y73" s="291"/>
      <c r="Z73" s="292"/>
      <c r="AA73" s="292"/>
      <c r="AB73" s="292"/>
      <c r="AC73" s="293"/>
      <c r="AD73" s="293"/>
      <c r="AE73" s="276">
        <f t="shared" si="4"/>
        <v>0</v>
      </c>
      <c r="AG73" s="294"/>
      <c r="AH73" s="294"/>
      <c r="AI73" s="294"/>
      <c r="AJ73" s="294"/>
      <c r="AK73" s="294"/>
      <c r="AL73" s="294"/>
      <c r="AN73" s="294"/>
      <c r="AO73" s="293"/>
      <c r="AP73" s="293"/>
      <c r="AQ73" s="293"/>
      <c r="AR73" s="293"/>
      <c r="AS73" s="293"/>
      <c r="AT73" s="276">
        <f t="shared" si="5"/>
        <v>0</v>
      </c>
    </row>
    <row r="74" ht="15.75" customHeight="1">
      <c r="A74" s="32"/>
      <c r="B74" s="32"/>
      <c r="C74" s="32"/>
      <c r="D74" s="32"/>
      <c r="E74" s="32"/>
      <c r="F74" s="32"/>
      <c r="H74" s="32"/>
      <c r="I74" s="31"/>
      <c r="J74" s="31"/>
      <c r="K74" s="31"/>
      <c r="L74" s="31"/>
      <c r="M74" s="31"/>
      <c r="N74" s="276">
        <f t="shared" si="3"/>
        <v>0</v>
      </c>
      <c r="R74" s="291"/>
      <c r="S74" s="291"/>
      <c r="T74" s="294"/>
      <c r="U74" s="294"/>
      <c r="V74" s="294"/>
      <c r="W74" s="294"/>
      <c r="Y74" s="294"/>
      <c r="Z74" s="293"/>
      <c r="AA74" s="293"/>
      <c r="AB74" s="293"/>
      <c r="AC74" s="293"/>
      <c r="AD74" s="293"/>
      <c r="AE74" s="276">
        <f t="shared" si="4"/>
        <v>0</v>
      </c>
      <c r="AG74" s="294"/>
      <c r="AH74" s="294"/>
      <c r="AI74" s="294"/>
      <c r="AJ74" s="294"/>
      <c r="AK74" s="294"/>
      <c r="AL74" s="294"/>
      <c r="AN74" s="294"/>
      <c r="AO74" s="293"/>
      <c r="AP74" s="293"/>
      <c r="AQ74" s="293"/>
      <c r="AR74" s="293"/>
      <c r="AS74" s="293"/>
      <c r="AT74" s="276">
        <f t="shared" si="5"/>
        <v>0</v>
      </c>
    </row>
    <row r="75" ht="20.25" customHeight="1">
      <c r="A75" s="32"/>
      <c r="B75" s="32"/>
      <c r="C75" s="32"/>
      <c r="D75" s="32"/>
      <c r="E75" s="32"/>
      <c r="F75" s="32"/>
      <c r="H75" s="32"/>
      <c r="I75" s="31"/>
      <c r="J75" s="31"/>
      <c r="K75" s="31"/>
      <c r="L75" s="31"/>
      <c r="M75" s="31"/>
      <c r="N75" s="276">
        <f t="shared" si="3"/>
        <v>0</v>
      </c>
      <c r="Q75" s="295"/>
      <c r="R75" s="291"/>
      <c r="S75" s="291"/>
      <c r="T75" s="291"/>
      <c r="U75" s="291"/>
      <c r="V75" s="294"/>
      <c r="W75" s="294"/>
      <c r="Y75" s="294"/>
      <c r="Z75" s="293"/>
      <c r="AA75" s="293"/>
      <c r="AB75" s="293"/>
      <c r="AC75" s="293"/>
      <c r="AD75" s="293"/>
      <c r="AE75" s="276">
        <f t="shared" si="4"/>
        <v>0</v>
      </c>
      <c r="AG75" s="294"/>
      <c r="AH75" s="294"/>
      <c r="AI75" s="294"/>
      <c r="AJ75" s="294"/>
      <c r="AK75" s="294"/>
      <c r="AL75" s="294"/>
      <c r="AN75" s="294"/>
      <c r="AO75" s="293"/>
      <c r="AP75" s="293"/>
      <c r="AQ75" s="293"/>
      <c r="AR75" s="293"/>
      <c r="AS75" s="293"/>
      <c r="AT75" s="276">
        <f t="shared" si="5"/>
        <v>0</v>
      </c>
    </row>
    <row r="76" ht="20.25" customHeight="1">
      <c r="A76" s="32"/>
      <c r="B76" s="32"/>
      <c r="C76" s="32"/>
      <c r="D76" s="32"/>
      <c r="E76" s="32"/>
      <c r="F76" s="32"/>
      <c r="H76" s="32"/>
      <c r="I76" s="31"/>
      <c r="J76" s="31"/>
      <c r="K76" s="31"/>
      <c r="L76" s="31"/>
      <c r="M76" s="31"/>
      <c r="N76" s="276">
        <f t="shared" si="3"/>
        <v>0</v>
      </c>
      <c r="Q76" s="51"/>
      <c r="R76" s="291"/>
      <c r="S76" s="291"/>
      <c r="T76" s="291"/>
      <c r="U76" s="291"/>
      <c r="V76" s="294"/>
      <c r="W76" s="294"/>
      <c r="Y76" s="294"/>
      <c r="Z76" s="293"/>
      <c r="AA76" s="293"/>
      <c r="AB76" s="293"/>
      <c r="AC76" s="293"/>
      <c r="AD76" s="293"/>
      <c r="AE76" s="276">
        <f t="shared" si="4"/>
        <v>0</v>
      </c>
      <c r="AG76" s="294"/>
      <c r="AH76" s="294"/>
      <c r="AI76" s="294"/>
      <c r="AJ76" s="294"/>
      <c r="AK76" s="294"/>
      <c r="AL76" s="294"/>
      <c r="AN76" s="294"/>
      <c r="AO76" s="293"/>
      <c r="AP76" s="293"/>
      <c r="AQ76" s="293"/>
      <c r="AR76" s="293"/>
      <c r="AS76" s="293"/>
      <c r="AT76" s="276">
        <f t="shared" si="5"/>
        <v>0</v>
      </c>
    </row>
    <row r="77" ht="15.75" customHeight="1">
      <c r="A77" s="32"/>
      <c r="B77" s="32"/>
      <c r="C77" s="32"/>
      <c r="D77" s="32"/>
      <c r="E77" s="32"/>
      <c r="F77" s="32"/>
      <c r="H77" s="32"/>
      <c r="I77" s="31"/>
      <c r="J77" s="31"/>
      <c r="K77" s="31"/>
      <c r="L77" s="31"/>
      <c r="M77" s="31"/>
      <c r="N77" s="276">
        <f t="shared" si="3"/>
        <v>0</v>
      </c>
      <c r="R77" s="291"/>
      <c r="S77" s="291"/>
      <c r="T77" s="294"/>
      <c r="U77" s="294"/>
      <c r="V77" s="294"/>
      <c r="W77" s="294"/>
      <c r="Y77" s="294"/>
      <c r="Z77" s="293"/>
      <c r="AA77" s="293"/>
      <c r="AB77" s="293"/>
      <c r="AC77" s="293"/>
      <c r="AD77" s="293"/>
      <c r="AE77" s="276">
        <f t="shared" si="4"/>
        <v>0</v>
      </c>
      <c r="AG77" s="294"/>
      <c r="AH77" s="294"/>
      <c r="AI77" s="294"/>
      <c r="AJ77" s="294"/>
      <c r="AK77" s="294"/>
      <c r="AL77" s="294"/>
      <c r="AN77" s="294"/>
      <c r="AO77" s="293"/>
      <c r="AP77" s="293"/>
      <c r="AQ77" s="293"/>
      <c r="AR77" s="293"/>
      <c r="AS77" s="293"/>
      <c r="AT77" s="276">
        <f t="shared" si="5"/>
        <v>0</v>
      </c>
    </row>
    <row r="78" ht="15.75" customHeight="1">
      <c r="A78" s="32"/>
      <c r="B78" s="32"/>
      <c r="C78" s="32"/>
      <c r="D78" s="32"/>
      <c r="E78" s="32"/>
      <c r="F78" s="32"/>
      <c r="H78" s="32"/>
      <c r="I78" s="31"/>
      <c r="J78" s="31"/>
      <c r="K78" s="31"/>
      <c r="L78" s="31"/>
      <c r="M78" s="31"/>
      <c r="N78" s="276">
        <f t="shared" si="3"/>
        <v>0</v>
      </c>
      <c r="R78" s="291"/>
      <c r="S78" s="291"/>
      <c r="T78" s="294"/>
      <c r="U78" s="294"/>
      <c r="V78" s="294"/>
      <c r="W78" s="294"/>
      <c r="Y78" s="294"/>
      <c r="Z78" s="293"/>
      <c r="AA78" s="293"/>
      <c r="AB78" s="293"/>
      <c r="AC78" s="293"/>
      <c r="AD78" s="293"/>
      <c r="AE78" s="276">
        <f t="shared" si="4"/>
        <v>0</v>
      </c>
      <c r="AG78" s="294"/>
      <c r="AH78" s="294"/>
      <c r="AI78" s="294"/>
      <c r="AJ78" s="294"/>
      <c r="AK78" s="294"/>
      <c r="AL78" s="294"/>
      <c r="AN78" s="294"/>
      <c r="AO78" s="293"/>
      <c r="AP78" s="293"/>
      <c r="AQ78" s="293"/>
      <c r="AR78" s="293"/>
      <c r="AS78" s="293"/>
      <c r="AT78" s="276">
        <f t="shared" si="5"/>
        <v>0</v>
      </c>
    </row>
    <row r="79" ht="15.75" customHeight="1">
      <c r="A79" s="32"/>
      <c r="B79" s="32"/>
      <c r="C79" s="32"/>
      <c r="D79" s="32"/>
      <c r="E79" s="32"/>
      <c r="F79" s="32"/>
      <c r="H79" s="32"/>
      <c r="I79" s="31"/>
      <c r="J79" s="31"/>
      <c r="K79" s="31"/>
      <c r="L79" s="31"/>
      <c r="M79" s="31"/>
      <c r="N79" s="276">
        <f t="shared" si="3"/>
        <v>0</v>
      </c>
      <c r="R79" s="294"/>
      <c r="S79" s="294"/>
      <c r="T79" s="294"/>
      <c r="U79" s="294"/>
      <c r="V79" s="294"/>
      <c r="W79" s="294"/>
      <c r="Y79" s="294"/>
      <c r="Z79" s="293"/>
      <c r="AA79" s="293"/>
      <c r="AB79" s="293"/>
      <c r="AC79" s="293"/>
      <c r="AD79" s="293"/>
      <c r="AE79" s="276">
        <f t="shared" si="4"/>
        <v>0</v>
      </c>
      <c r="AG79" s="294"/>
      <c r="AH79" s="294"/>
      <c r="AI79" s="294"/>
      <c r="AJ79" s="294"/>
      <c r="AK79" s="294"/>
      <c r="AL79" s="294"/>
      <c r="AN79" s="294"/>
      <c r="AO79" s="293"/>
      <c r="AP79" s="293"/>
      <c r="AQ79" s="293"/>
      <c r="AR79" s="293"/>
      <c r="AS79" s="293"/>
      <c r="AT79" s="276">
        <f t="shared" si="5"/>
        <v>0</v>
      </c>
    </row>
    <row r="80" ht="15.75" customHeight="1">
      <c r="A80" s="32"/>
      <c r="B80" s="32"/>
      <c r="C80" s="32"/>
      <c r="D80" s="32"/>
      <c r="E80" s="32"/>
      <c r="F80" s="32"/>
      <c r="H80" s="32"/>
      <c r="I80" s="31"/>
      <c r="J80" s="31"/>
      <c r="K80" s="31"/>
      <c r="L80" s="31"/>
      <c r="M80" s="31"/>
      <c r="N80" s="276">
        <f t="shared" si="3"/>
        <v>0</v>
      </c>
      <c r="R80" s="294"/>
      <c r="S80" s="294"/>
      <c r="T80" s="294"/>
      <c r="U80" s="294"/>
      <c r="V80" s="294"/>
      <c r="W80" s="294"/>
      <c r="Y80" s="294"/>
      <c r="Z80" s="293"/>
      <c r="AA80" s="293"/>
      <c r="AB80" s="293"/>
      <c r="AC80" s="293"/>
      <c r="AD80" s="293"/>
      <c r="AE80" s="276">
        <f t="shared" si="4"/>
        <v>0</v>
      </c>
      <c r="AG80" s="294"/>
      <c r="AH80" s="294"/>
      <c r="AI80" s="294"/>
      <c r="AJ80" s="294"/>
      <c r="AK80" s="294"/>
      <c r="AL80" s="294"/>
      <c r="AN80" s="294"/>
      <c r="AO80" s="293"/>
      <c r="AP80" s="293"/>
      <c r="AQ80" s="293"/>
      <c r="AR80" s="293"/>
      <c r="AS80" s="293"/>
      <c r="AT80" s="276">
        <f t="shared" si="5"/>
        <v>0</v>
      </c>
    </row>
    <row r="81" ht="15.75" customHeight="1">
      <c r="A81" s="31"/>
      <c r="B81" s="31"/>
      <c r="C81" s="32"/>
      <c r="D81" s="32"/>
      <c r="E81" s="32"/>
      <c r="F81" s="32"/>
      <c r="H81" s="32"/>
      <c r="I81" s="31"/>
      <c r="J81" s="31"/>
      <c r="K81" s="31"/>
      <c r="L81" s="31"/>
      <c r="M81" s="31"/>
      <c r="N81" s="276">
        <f t="shared" si="3"/>
        <v>0</v>
      </c>
      <c r="R81" s="293"/>
      <c r="S81" s="293"/>
      <c r="T81" s="294"/>
      <c r="U81" s="294"/>
      <c r="V81" s="294"/>
      <c r="W81" s="294"/>
      <c r="Y81" s="294"/>
      <c r="Z81" s="293"/>
      <c r="AA81" s="293"/>
      <c r="AB81" s="293"/>
      <c r="AC81" s="293"/>
      <c r="AD81" s="293"/>
      <c r="AE81" s="276">
        <f t="shared" si="4"/>
        <v>0</v>
      </c>
      <c r="AG81" s="293"/>
      <c r="AH81" s="293"/>
      <c r="AI81" s="294"/>
      <c r="AJ81" s="294"/>
      <c r="AK81" s="294"/>
      <c r="AL81" s="294"/>
      <c r="AN81" s="294"/>
      <c r="AO81" s="293"/>
      <c r="AP81" s="293"/>
      <c r="AQ81" s="293"/>
      <c r="AR81" s="293"/>
      <c r="AS81" s="293"/>
      <c r="AT81" s="276">
        <f t="shared" si="5"/>
        <v>0</v>
      </c>
    </row>
    <row r="82" ht="15.75" customHeight="1">
      <c r="A82" s="31"/>
      <c r="B82" s="31"/>
      <c r="C82" s="32"/>
      <c r="D82" s="32"/>
      <c r="E82" s="32"/>
      <c r="F82" s="32"/>
      <c r="H82" s="32"/>
      <c r="I82" s="31"/>
      <c r="J82" s="31"/>
      <c r="K82" s="31"/>
      <c r="L82" s="31"/>
      <c r="M82" s="31"/>
      <c r="N82" s="276">
        <f t="shared" si="3"/>
        <v>0</v>
      </c>
      <c r="R82" s="293"/>
      <c r="S82" s="293"/>
      <c r="T82" s="294"/>
      <c r="U82" s="294"/>
      <c r="V82" s="294"/>
      <c r="W82" s="294"/>
      <c r="Y82" s="294"/>
      <c r="Z82" s="293"/>
      <c r="AA82" s="293"/>
      <c r="AB82" s="293"/>
      <c r="AC82" s="293"/>
      <c r="AD82" s="293"/>
      <c r="AE82" s="276">
        <f t="shared" si="4"/>
        <v>0</v>
      </c>
      <c r="AG82" s="293"/>
      <c r="AH82" s="293"/>
      <c r="AI82" s="294"/>
      <c r="AJ82" s="294"/>
      <c r="AK82" s="294"/>
      <c r="AL82" s="294"/>
      <c r="AN82" s="294"/>
      <c r="AO82" s="293"/>
      <c r="AP82" s="293"/>
      <c r="AQ82" s="293"/>
      <c r="AR82" s="293"/>
      <c r="AS82" s="293"/>
      <c r="AT82" s="276">
        <f t="shared" si="5"/>
        <v>0</v>
      </c>
    </row>
    <row r="83" ht="15.75" customHeight="1">
      <c r="A83" s="32"/>
      <c r="B83" s="32"/>
      <c r="C83" s="32"/>
      <c r="D83" s="32"/>
      <c r="E83" s="32"/>
      <c r="F83" s="32"/>
      <c r="H83" s="32"/>
      <c r="I83" s="31"/>
      <c r="J83" s="31"/>
      <c r="K83" s="31"/>
      <c r="L83" s="31"/>
      <c r="M83" s="31"/>
      <c r="N83" s="276">
        <f t="shared" si="3"/>
        <v>0</v>
      </c>
      <c r="R83" s="294"/>
      <c r="S83" s="294"/>
      <c r="T83" s="294"/>
      <c r="U83" s="294"/>
      <c r="V83" s="294"/>
      <c r="W83" s="294"/>
      <c r="Y83" s="294"/>
      <c r="Z83" s="293"/>
      <c r="AA83" s="293"/>
      <c r="AB83" s="293"/>
      <c r="AC83" s="293"/>
      <c r="AD83" s="293"/>
      <c r="AE83" s="276">
        <f t="shared" si="4"/>
        <v>0</v>
      </c>
      <c r="AG83" s="294"/>
      <c r="AH83" s="294"/>
      <c r="AI83" s="294"/>
      <c r="AJ83" s="294"/>
      <c r="AK83" s="294"/>
      <c r="AL83" s="294"/>
      <c r="AN83" s="294"/>
      <c r="AO83" s="293"/>
      <c r="AP83" s="293"/>
      <c r="AQ83" s="293"/>
      <c r="AR83" s="293"/>
      <c r="AS83" s="293"/>
      <c r="AT83" s="276">
        <f t="shared" si="5"/>
        <v>0</v>
      </c>
    </row>
    <row r="84" ht="15.75" customHeight="1">
      <c r="A84" s="32"/>
      <c r="B84" s="32"/>
      <c r="C84" s="32"/>
      <c r="D84" s="32"/>
      <c r="E84" s="32"/>
      <c r="F84" s="32"/>
      <c r="H84" s="32"/>
      <c r="I84" s="31"/>
      <c r="J84" s="31"/>
      <c r="K84" s="31"/>
      <c r="L84" s="31"/>
      <c r="M84" s="31"/>
      <c r="N84" s="276">
        <f t="shared" si="3"/>
        <v>0</v>
      </c>
      <c r="R84" s="294"/>
      <c r="S84" s="294"/>
      <c r="T84" s="294"/>
      <c r="U84" s="294"/>
      <c r="V84" s="294"/>
      <c r="W84" s="294"/>
      <c r="Y84" s="294"/>
      <c r="Z84" s="293"/>
      <c r="AA84" s="293"/>
      <c r="AB84" s="293"/>
      <c r="AC84" s="293"/>
      <c r="AD84" s="293"/>
      <c r="AE84" s="276">
        <f t="shared" si="4"/>
        <v>0</v>
      </c>
      <c r="AG84" s="294"/>
      <c r="AH84" s="294"/>
      <c r="AI84" s="294"/>
      <c r="AJ84" s="294"/>
      <c r="AK84" s="294"/>
      <c r="AL84" s="294"/>
      <c r="AN84" s="294"/>
      <c r="AO84" s="293"/>
      <c r="AP84" s="293"/>
      <c r="AQ84" s="293"/>
      <c r="AR84" s="293"/>
      <c r="AS84" s="293"/>
      <c r="AT84" s="276">
        <f t="shared" si="5"/>
        <v>0</v>
      </c>
    </row>
    <row r="85" ht="15.75" customHeight="1">
      <c r="A85" s="32"/>
      <c r="B85" s="32"/>
      <c r="C85" s="32"/>
      <c r="D85" s="32"/>
      <c r="E85" s="32"/>
      <c r="F85" s="32"/>
      <c r="H85" s="32"/>
      <c r="I85" s="31"/>
      <c r="J85" s="31"/>
      <c r="K85" s="31"/>
      <c r="L85" s="31"/>
      <c r="M85" s="31"/>
      <c r="N85" s="276">
        <f t="shared" si="3"/>
        <v>0</v>
      </c>
      <c r="R85" s="294"/>
      <c r="S85" s="294"/>
      <c r="T85" s="294"/>
      <c r="U85" s="294"/>
      <c r="V85" s="294"/>
      <c r="W85" s="294"/>
      <c r="Y85" s="294"/>
      <c r="Z85" s="293"/>
      <c r="AA85" s="293"/>
      <c r="AB85" s="293"/>
      <c r="AC85" s="293"/>
      <c r="AD85" s="293"/>
      <c r="AE85" s="276">
        <f t="shared" si="4"/>
        <v>0</v>
      </c>
      <c r="AG85" s="294"/>
      <c r="AH85" s="294"/>
      <c r="AI85" s="294"/>
      <c r="AJ85" s="294"/>
      <c r="AK85" s="294"/>
      <c r="AL85" s="294"/>
      <c r="AN85" s="294"/>
      <c r="AO85" s="293"/>
      <c r="AP85" s="293"/>
      <c r="AQ85" s="293"/>
      <c r="AR85" s="293"/>
      <c r="AS85" s="293"/>
      <c r="AT85" s="276">
        <f t="shared" si="5"/>
        <v>0</v>
      </c>
    </row>
    <row r="86" ht="15.75" customHeight="1">
      <c r="A86" s="32"/>
      <c r="B86" s="32"/>
      <c r="C86" s="32"/>
      <c r="D86" s="32"/>
      <c r="E86" s="32"/>
      <c r="F86" s="32"/>
      <c r="H86" s="32"/>
      <c r="I86" s="31"/>
      <c r="J86" s="31"/>
      <c r="K86" s="31"/>
      <c r="L86" s="31"/>
      <c r="M86" s="31"/>
      <c r="N86" s="276">
        <f t="shared" si="3"/>
        <v>0</v>
      </c>
      <c r="R86" s="294"/>
      <c r="S86" s="294"/>
      <c r="T86" s="294"/>
      <c r="U86" s="294"/>
      <c r="V86" s="294"/>
      <c r="W86" s="294"/>
      <c r="Y86" s="294"/>
      <c r="Z86" s="293"/>
      <c r="AA86" s="293"/>
      <c r="AB86" s="293"/>
      <c r="AC86" s="293"/>
      <c r="AD86" s="293"/>
      <c r="AE86" s="276">
        <f t="shared" si="4"/>
        <v>0</v>
      </c>
      <c r="AG86" s="294"/>
      <c r="AH86" s="294"/>
      <c r="AI86" s="294"/>
      <c r="AJ86" s="294"/>
      <c r="AK86" s="294"/>
      <c r="AL86" s="294"/>
      <c r="AN86" s="294"/>
      <c r="AO86" s="293"/>
      <c r="AP86" s="293"/>
      <c r="AQ86" s="293"/>
      <c r="AR86" s="293"/>
      <c r="AS86" s="293"/>
      <c r="AT86" s="276">
        <f t="shared" si="5"/>
        <v>0</v>
      </c>
    </row>
    <row r="87" ht="15.75" customHeight="1">
      <c r="A87" s="32"/>
      <c r="B87" s="32"/>
      <c r="C87" s="32"/>
      <c r="D87" s="32"/>
      <c r="E87" s="32"/>
      <c r="F87" s="32"/>
      <c r="H87" s="32"/>
      <c r="I87" s="31"/>
      <c r="J87" s="31"/>
      <c r="K87" s="31"/>
      <c r="L87" s="31"/>
      <c r="M87" s="31"/>
      <c r="N87" s="276">
        <f t="shared" si="3"/>
        <v>0</v>
      </c>
      <c r="R87" s="294"/>
      <c r="S87" s="294"/>
      <c r="T87" s="294"/>
      <c r="U87" s="294"/>
      <c r="V87" s="294"/>
      <c r="W87" s="294"/>
      <c r="Y87" s="294"/>
      <c r="Z87" s="293"/>
      <c r="AA87" s="293"/>
      <c r="AB87" s="293"/>
      <c r="AC87" s="293"/>
      <c r="AD87" s="293"/>
      <c r="AE87" s="276">
        <f t="shared" si="4"/>
        <v>0</v>
      </c>
      <c r="AG87" s="294"/>
      <c r="AH87" s="294"/>
      <c r="AI87" s="294"/>
      <c r="AJ87" s="294"/>
      <c r="AK87" s="294"/>
      <c r="AL87" s="294"/>
      <c r="AN87" s="294"/>
      <c r="AO87" s="293"/>
      <c r="AP87" s="293"/>
      <c r="AQ87" s="293"/>
      <c r="AR87" s="293"/>
      <c r="AS87" s="293"/>
      <c r="AT87" s="276">
        <f t="shared" si="5"/>
        <v>0</v>
      </c>
    </row>
    <row r="88" ht="15.75" customHeight="1">
      <c r="A88" s="32"/>
      <c r="B88" s="32"/>
      <c r="C88" s="32"/>
      <c r="D88" s="32"/>
      <c r="E88" s="32"/>
      <c r="F88" s="32"/>
      <c r="H88" s="32"/>
      <c r="I88" s="31"/>
      <c r="J88" s="31"/>
      <c r="K88" s="31"/>
      <c r="L88" s="31"/>
      <c r="M88" s="31"/>
      <c r="N88" s="276">
        <f t="shared" si="3"/>
        <v>0</v>
      </c>
      <c r="R88" s="294"/>
      <c r="S88" s="294"/>
      <c r="T88" s="294"/>
      <c r="U88" s="294"/>
      <c r="V88" s="294"/>
      <c r="W88" s="294"/>
      <c r="Y88" s="294"/>
      <c r="Z88" s="293"/>
      <c r="AA88" s="293"/>
      <c r="AB88" s="293"/>
      <c r="AC88" s="293"/>
      <c r="AD88" s="293"/>
      <c r="AE88" s="276">
        <f t="shared" si="4"/>
        <v>0</v>
      </c>
      <c r="AG88" s="294"/>
      <c r="AH88" s="294"/>
      <c r="AI88" s="294"/>
      <c r="AJ88" s="294"/>
      <c r="AK88" s="294"/>
      <c r="AL88" s="294"/>
      <c r="AN88" s="294"/>
      <c r="AO88" s="293"/>
      <c r="AP88" s="293"/>
      <c r="AQ88" s="293"/>
      <c r="AR88" s="293"/>
      <c r="AS88" s="293"/>
      <c r="AT88" s="276">
        <f t="shared" si="5"/>
        <v>0</v>
      </c>
    </row>
    <row r="89" ht="15.75" customHeight="1">
      <c r="A89" s="32"/>
      <c r="B89" s="32"/>
      <c r="C89" s="32"/>
      <c r="D89" s="32"/>
      <c r="E89" s="32"/>
      <c r="F89" s="32"/>
      <c r="H89" s="32"/>
      <c r="I89" s="31"/>
      <c r="J89" s="31"/>
      <c r="K89" s="31"/>
      <c r="L89" s="31"/>
      <c r="M89" s="31"/>
      <c r="N89" s="276">
        <f t="shared" si="3"/>
        <v>0</v>
      </c>
      <c r="R89" s="294"/>
      <c r="S89" s="294"/>
      <c r="T89" s="294"/>
      <c r="U89" s="294"/>
      <c r="V89" s="294"/>
      <c r="W89" s="294"/>
      <c r="Y89" s="294"/>
      <c r="Z89" s="293"/>
      <c r="AA89" s="293"/>
      <c r="AB89" s="293"/>
      <c r="AC89" s="293"/>
      <c r="AD89" s="293"/>
      <c r="AE89" s="276">
        <f t="shared" si="4"/>
        <v>0</v>
      </c>
      <c r="AG89" s="294"/>
      <c r="AH89" s="294"/>
      <c r="AI89" s="294"/>
      <c r="AJ89" s="294"/>
      <c r="AK89" s="294"/>
      <c r="AL89" s="294"/>
      <c r="AN89" s="294"/>
      <c r="AO89" s="293"/>
      <c r="AP89" s="293"/>
      <c r="AQ89" s="293"/>
      <c r="AR89" s="293"/>
      <c r="AS89" s="293"/>
      <c r="AT89" s="276">
        <f t="shared" si="5"/>
        <v>0</v>
      </c>
    </row>
    <row r="90" ht="15.75" customHeight="1">
      <c r="A90" s="32"/>
      <c r="B90" s="32"/>
      <c r="C90" s="32"/>
      <c r="D90" s="32"/>
      <c r="E90" s="32"/>
      <c r="F90" s="32"/>
      <c r="H90" s="32"/>
      <c r="I90" s="31"/>
      <c r="J90" s="31"/>
      <c r="K90" s="31"/>
      <c r="L90" s="31"/>
      <c r="M90" s="31"/>
      <c r="N90" s="276">
        <f t="shared" si="3"/>
        <v>0</v>
      </c>
      <c r="R90" s="294"/>
      <c r="S90" s="294"/>
      <c r="T90" s="294"/>
      <c r="U90" s="294"/>
      <c r="V90" s="294"/>
      <c r="W90" s="294"/>
      <c r="Y90" s="294"/>
      <c r="Z90" s="293"/>
      <c r="AA90" s="293"/>
      <c r="AB90" s="293"/>
      <c r="AC90" s="293"/>
      <c r="AD90" s="293"/>
      <c r="AE90" s="276">
        <f t="shared" si="4"/>
        <v>0</v>
      </c>
      <c r="AG90" s="294"/>
      <c r="AH90" s="294"/>
      <c r="AI90" s="294"/>
      <c r="AJ90" s="294"/>
      <c r="AK90" s="294"/>
      <c r="AL90" s="294"/>
      <c r="AN90" s="294"/>
      <c r="AO90" s="293"/>
      <c r="AP90" s="293"/>
      <c r="AQ90" s="293"/>
      <c r="AR90" s="293"/>
      <c r="AS90" s="293"/>
      <c r="AT90" s="276">
        <f t="shared" si="5"/>
        <v>0</v>
      </c>
    </row>
    <row r="91" ht="15.75" customHeight="1">
      <c r="A91" s="32"/>
      <c r="B91" s="32"/>
      <c r="C91" s="32"/>
      <c r="D91" s="32"/>
      <c r="E91" s="32"/>
      <c r="F91" s="32"/>
      <c r="H91" s="32"/>
      <c r="I91" s="32"/>
      <c r="J91" s="32"/>
      <c r="K91" s="32"/>
      <c r="L91" s="32"/>
      <c r="M91" s="32"/>
      <c r="N91" s="276">
        <f t="shared" si="3"/>
        <v>0</v>
      </c>
      <c r="R91" s="294"/>
      <c r="S91" s="294"/>
      <c r="T91" s="294"/>
      <c r="U91" s="294"/>
      <c r="V91" s="294"/>
      <c r="W91" s="294"/>
      <c r="Y91" s="294"/>
      <c r="Z91" s="294"/>
      <c r="AA91" s="294"/>
      <c r="AB91" s="294"/>
      <c r="AC91" s="294"/>
      <c r="AD91" s="294"/>
      <c r="AE91" s="276">
        <f t="shared" si="4"/>
        <v>0</v>
      </c>
      <c r="AG91" s="294"/>
      <c r="AH91" s="294"/>
      <c r="AI91" s="294"/>
      <c r="AJ91" s="294"/>
      <c r="AK91" s="294"/>
      <c r="AL91" s="294"/>
      <c r="AN91" s="294"/>
      <c r="AO91" s="294"/>
      <c r="AP91" s="294"/>
      <c r="AQ91" s="294"/>
      <c r="AR91" s="294"/>
      <c r="AS91" s="294"/>
      <c r="AT91" s="276">
        <f t="shared" si="5"/>
        <v>0</v>
      </c>
    </row>
    <row r="92" ht="15.75" customHeight="1">
      <c r="A92" s="32"/>
      <c r="B92" s="32"/>
      <c r="C92" s="32"/>
      <c r="D92" s="32"/>
      <c r="E92" s="32"/>
      <c r="F92" s="32"/>
      <c r="H92" s="32"/>
      <c r="I92" s="32"/>
      <c r="J92" s="32"/>
      <c r="K92" s="32"/>
      <c r="L92" s="32"/>
      <c r="M92" s="32"/>
      <c r="N92" s="276">
        <f t="shared" si="3"/>
        <v>0</v>
      </c>
      <c r="R92" s="294"/>
      <c r="S92" s="294"/>
      <c r="T92" s="294"/>
      <c r="U92" s="294"/>
      <c r="V92" s="294"/>
      <c r="W92" s="294"/>
      <c r="Y92" s="294"/>
      <c r="Z92" s="294"/>
      <c r="AA92" s="294"/>
      <c r="AB92" s="294"/>
      <c r="AC92" s="294"/>
      <c r="AD92" s="294"/>
      <c r="AE92" s="276">
        <f t="shared" si="4"/>
        <v>0</v>
      </c>
      <c r="AG92" s="294"/>
      <c r="AH92" s="294"/>
      <c r="AI92" s="294"/>
      <c r="AJ92" s="294"/>
      <c r="AK92" s="294"/>
      <c r="AL92" s="294"/>
      <c r="AN92" s="294"/>
      <c r="AO92" s="294"/>
      <c r="AP92" s="294"/>
      <c r="AQ92" s="294"/>
      <c r="AR92" s="294"/>
      <c r="AS92" s="294"/>
      <c r="AT92" s="276">
        <f t="shared" si="5"/>
        <v>0</v>
      </c>
    </row>
    <row r="93" ht="15.75" customHeight="1">
      <c r="A93" s="32"/>
      <c r="B93" s="32"/>
      <c r="C93" s="32"/>
      <c r="D93" s="32"/>
      <c r="E93" s="32"/>
      <c r="F93" s="32"/>
      <c r="H93" s="281" t="s">
        <v>21</v>
      </c>
      <c r="I93" s="106"/>
      <c r="J93" s="106"/>
      <c r="K93" s="106"/>
      <c r="L93" s="106"/>
      <c r="M93" s="106"/>
      <c r="N93" s="107"/>
      <c r="R93" s="294"/>
      <c r="S93" s="294"/>
      <c r="T93" s="294"/>
      <c r="U93" s="294"/>
      <c r="V93" s="294"/>
      <c r="W93" s="294"/>
      <c r="Y93" s="281" t="s">
        <v>21</v>
      </c>
      <c r="Z93" s="106"/>
      <c r="AA93" s="106"/>
      <c r="AB93" s="106"/>
      <c r="AC93" s="106"/>
      <c r="AD93" s="106"/>
      <c r="AE93" s="107"/>
      <c r="AG93" s="294"/>
      <c r="AH93" s="294"/>
      <c r="AI93" s="294"/>
      <c r="AJ93" s="294"/>
      <c r="AK93" s="294"/>
      <c r="AL93" s="294"/>
      <c r="AN93" s="281" t="s">
        <v>21</v>
      </c>
      <c r="AO93" s="106"/>
      <c r="AP93" s="106"/>
      <c r="AQ93" s="106"/>
      <c r="AR93" s="106"/>
      <c r="AS93" s="106"/>
      <c r="AT93" s="107"/>
    </row>
    <row r="94" ht="15.75" customHeight="1">
      <c r="A94" s="32"/>
      <c r="B94" s="32"/>
      <c r="C94" s="32"/>
      <c r="D94" s="32"/>
      <c r="E94" s="32"/>
      <c r="F94" s="32"/>
      <c r="H94" s="276"/>
      <c r="I94" s="276"/>
      <c r="J94" s="276"/>
      <c r="K94" s="276"/>
      <c r="L94" s="276"/>
      <c r="M94" s="281">
        <f>SUM(N64:N92)</f>
        <v>0</v>
      </c>
      <c r="N94" s="107"/>
      <c r="R94" s="294"/>
      <c r="S94" s="294"/>
      <c r="T94" s="294"/>
      <c r="U94" s="294"/>
      <c r="V94" s="294"/>
      <c r="W94" s="294"/>
      <c r="Y94" s="276"/>
      <c r="Z94" s="276"/>
      <c r="AA94" s="276"/>
      <c r="AB94" s="276"/>
      <c r="AC94" s="276"/>
      <c r="AD94" s="281">
        <f>SUM(AE64:AE92)</f>
        <v>0</v>
      </c>
      <c r="AE94" s="107"/>
      <c r="AG94" s="294"/>
      <c r="AH94" s="294"/>
      <c r="AI94" s="294"/>
      <c r="AJ94" s="294"/>
      <c r="AK94" s="294"/>
      <c r="AL94" s="294"/>
      <c r="AN94" s="276"/>
      <c r="AO94" s="276"/>
      <c r="AP94" s="276"/>
      <c r="AQ94" s="276"/>
      <c r="AR94" s="276"/>
      <c r="AS94" s="281">
        <f>SUM(AT64:AT92)</f>
        <v>0</v>
      </c>
      <c r="AT94" s="107"/>
    </row>
    <row r="95" ht="15.75" customHeight="1">
      <c r="A95" s="32"/>
      <c r="B95" s="32"/>
      <c r="C95" s="32"/>
      <c r="D95" s="32"/>
      <c r="E95" s="32"/>
      <c r="F95" s="32"/>
      <c r="R95" s="294"/>
      <c r="S95" s="294"/>
      <c r="T95" s="294"/>
      <c r="U95" s="294"/>
      <c r="V95" s="294"/>
      <c r="W95" s="294"/>
      <c r="AG95" s="294"/>
      <c r="AH95" s="294"/>
      <c r="AI95" s="294"/>
      <c r="AJ95" s="294"/>
      <c r="AK95" s="294"/>
      <c r="AL95" s="294"/>
    </row>
    <row r="96" ht="15.75" customHeight="1">
      <c r="A96" s="32"/>
      <c r="B96" s="32"/>
      <c r="C96" s="32"/>
      <c r="D96" s="32"/>
      <c r="E96" s="32"/>
      <c r="F96" s="32"/>
      <c r="H96" s="282" t="s">
        <v>22</v>
      </c>
      <c r="I96" s="64"/>
      <c r="J96" s="64"/>
      <c r="K96" s="64"/>
      <c r="L96" s="64"/>
      <c r="M96" s="64"/>
      <c r="N96" s="64"/>
      <c r="R96" s="294"/>
      <c r="S96" s="294"/>
      <c r="T96" s="294"/>
      <c r="U96" s="294"/>
      <c r="V96" s="294"/>
      <c r="W96" s="294"/>
      <c r="Y96" s="282" t="s">
        <v>22</v>
      </c>
      <c r="Z96" s="64"/>
      <c r="AA96" s="64"/>
      <c r="AB96" s="64"/>
      <c r="AC96" s="64"/>
      <c r="AD96" s="64"/>
      <c r="AE96" s="64"/>
      <c r="AG96" s="294"/>
      <c r="AH96" s="294"/>
      <c r="AI96" s="294"/>
      <c r="AJ96" s="294"/>
      <c r="AK96" s="294"/>
      <c r="AL96" s="294"/>
      <c r="AN96" s="282" t="s">
        <v>22</v>
      </c>
      <c r="AO96" s="64"/>
      <c r="AP96" s="64"/>
      <c r="AQ96" s="64"/>
      <c r="AR96" s="64"/>
      <c r="AS96" s="64"/>
      <c r="AT96" s="64"/>
    </row>
    <row r="97" ht="15.75" customHeight="1">
      <c r="A97" s="32"/>
      <c r="B97" s="32"/>
      <c r="C97" s="32"/>
      <c r="D97" s="32"/>
      <c r="E97" s="32"/>
      <c r="F97" s="32"/>
      <c r="R97" s="294"/>
      <c r="S97" s="294"/>
      <c r="T97" s="294"/>
      <c r="U97" s="294"/>
      <c r="V97" s="294"/>
      <c r="W97" s="294"/>
      <c r="AG97" s="294"/>
      <c r="AH97" s="294"/>
      <c r="AI97" s="294"/>
      <c r="AJ97" s="294"/>
      <c r="AK97" s="294"/>
      <c r="AL97" s="294"/>
    </row>
    <row r="98" ht="15.75" customHeight="1">
      <c r="A98" s="32"/>
      <c r="B98" s="32"/>
      <c r="C98" s="32"/>
      <c r="D98" s="32"/>
      <c r="E98" s="32"/>
      <c r="F98" s="32"/>
      <c r="R98" s="294"/>
      <c r="S98" s="294"/>
      <c r="T98" s="294"/>
      <c r="U98" s="294"/>
      <c r="V98" s="294"/>
      <c r="W98" s="294"/>
      <c r="AG98" s="294"/>
      <c r="AH98" s="294"/>
      <c r="AI98" s="294"/>
      <c r="AJ98" s="294"/>
      <c r="AK98" s="294"/>
      <c r="AL98" s="294"/>
    </row>
    <row r="99" ht="15.75" customHeight="1">
      <c r="A99" s="32"/>
      <c r="B99" s="32"/>
      <c r="C99" s="32"/>
      <c r="D99" s="32"/>
      <c r="E99" s="32"/>
      <c r="F99" s="32"/>
      <c r="R99" s="294"/>
      <c r="S99" s="294"/>
      <c r="T99" s="294"/>
      <c r="U99" s="294"/>
      <c r="V99" s="294"/>
      <c r="W99" s="294"/>
      <c r="AG99" s="294"/>
      <c r="AH99" s="294"/>
      <c r="AI99" s="294"/>
      <c r="AJ99" s="294"/>
      <c r="AK99" s="294"/>
      <c r="AL99" s="294"/>
    </row>
    <row r="100" ht="15.75" customHeight="1">
      <c r="A100" s="32"/>
      <c r="B100" s="32"/>
      <c r="C100" s="32"/>
      <c r="D100" s="32"/>
      <c r="E100" s="32"/>
      <c r="F100" s="32"/>
      <c r="R100" s="294"/>
      <c r="S100" s="294"/>
      <c r="T100" s="294"/>
      <c r="U100" s="294"/>
      <c r="V100" s="294"/>
      <c r="W100" s="294"/>
      <c r="AG100" s="294"/>
      <c r="AH100" s="294"/>
      <c r="AI100" s="294"/>
      <c r="AJ100" s="294"/>
      <c r="AK100" s="294"/>
      <c r="AL100" s="294"/>
    </row>
    <row r="101" ht="15.75" customHeight="1">
      <c r="A101" s="32"/>
      <c r="B101" s="32"/>
      <c r="C101" s="32"/>
      <c r="D101" s="32"/>
      <c r="E101" s="32"/>
      <c r="F101" s="32"/>
      <c r="R101" s="294"/>
      <c r="S101" s="294"/>
      <c r="T101" s="294"/>
      <c r="U101" s="294"/>
      <c r="V101" s="294"/>
      <c r="W101" s="294"/>
      <c r="AG101" s="294"/>
      <c r="AH101" s="294"/>
      <c r="AI101" s="294"/>
      <c r="AJ101" s="294"/>
      <c r="AK101" s="294"/>
      <c r="AL101" s="294"/>
    </row>
    <row r="102" ht="15.75" customHeight="1">
      <c r="A102" s="32"/>
      <c r="B102" s="32"/>
      <c r="C102" s="32"/>
      <c r="D102" s="32"/>
      <c r="E102" s="32"/>
      <c r="F102" s="32"/>
      <c r="R102" s="294"/>
      <c r="S102" s="294"/>
      <c r="T102" s="294"/>
      <c r="U102" s="294"/>
      <c r="V102" s="294"/>
      <c r="W102" s="294"/>
      <c r="AG102" s="294"/>
      <c r="AH102" s="294"/>
      <c r="AI102" s="294"/>
      <c r="AJ102" s="294"/>
      <c r="AK102" s="294"/>
      <c r="AL102" s="294"/>
    </row>
    <row r="103" ht="15.75" customHeight="1">
      <c r="A103" s="32"/>
      <c r="B103" s="32"/>
      <c r="C103" s="32"/>
      <c r="D103" s="32"/>
      <c r="E103" s="32"/>
      <c r="F103" s="32"/>
      <c r="R103" s="294"/>
      <c r="S103" s="294"/>
      <c r="T103" s="294"/>
      <c r="U103" s="294"/>
      <c r="V103" s="294"/>
      <c r="W103" s="294"/>
      <c r="AG103" s="294"/>
      <c r="AH103" s="294"/>
      <c r="AI103" s="294"/>
      <c r="AJ103" s="294"/>
      <c r="AK103" s="294"/>
      <c r="AL103" s="294"/>
    </row>
    <row r="104" ht="15.75" customHeight="1">
      <c r="A104" s="32"/>
      <c r="B104" s="32"/>
      <c r="C104" s="32"/>
      <c r="D104" s="32"/>
      <c r="E104" s="32"/>
      <c r="F104" s="32"/>
      <c r="R104" s="294"/>
      <c r="S104" s="294"/>
      <c r="T104" s="294"/>
      <c r="U104" s="294"/>
      <c r="V104" s="294"/>
      <c r="W104" s="294"/>
      <c r="AG104" s="294"/>
      <c r="AH104" s="294"/>
      <c r="AI104" s="294"/>
      <c r="AJ104" s="294"/>
      <c r="AK104" s="294"/>
      <c r="AL104" s="294"/>
    </row>
    <row r="105" ht="15.75" customHeight="1">
      <c r="A105" s="32"/>
      <c r="B105" s="32"/>
      <c r="C105" s="32"/>
      <c r="D105" s="32"/>
      <c r="E105" s="32"/>
      <c r="F105" s="32"/>
      <c r="H105" s="283" t="s">
        <v>1</v>
      </c>
      <c r="I105" s="12"/>
      <c r="J105" s="12"/>
      <c r="K105" s="12"/>
      <c r="L105" s="12"/>
      <c r="M105" s="12"/>
      <c r="N105" s="13"/>
      <c r="R105" s="294"/>
      <c r="S105" s="294"/>
      <c r="T105" s="294"/>
      <c r="U105" s="294"/>
      <c r="V105" s="294"/>
      <c r="W105" s="294"/>
      <c r="Y105" s="283" t="s">
        <v>1</v>
      </c>
      <c r="Z105" s="12"/>
      <c r="AA105" s="12"/>
      <c r="AB105" s="12"/>
      <c r="AC105" s="12"/>
      <c r="AD105" s="12"/>
      <c r="AE105" s="13"/>
      <c r="AG105" s="294"/>
      <c r="AH105" s="294"/>
      <c r="AI105" s="294"/>
      <c r="AJ105" s="294"/>
      <c r="AK105" s="294"/>
      <c r="AL105" s="294"/>
      <c r="AN105" s="283" t="s">
        <v>1</v>
      </c>
      <c r="AO105" s="12"/>
      <c r="AP105" s="12"/>
      <c r="AQ105" s="12"/>
      <c r="AR105" s="12"/>
      <c r="AS105" s="12"/>
      <c r="AT105" s="13"/>
    </row>
    <row r="106" ht="15.75" customHeight="1">
      <c r="A106" s="32"/>
      <c r="B106" s="32"/>
      <c r="C106" s="32"/>
      <c r="D106" s="32"/>
      <c r="E106" s="32"/>
      <c r="F106" s="32"/>
      <c r="H106" s="63"/>
      <c r="I106" s="64"/>
      <c r="J106" s="64"/>
      <c r="K106" s="64"/>
      <c r="L106" s="64"/>
      <c r="M106" s="64"/>
      <c r="N106" s="65"/>
      <c r="R106" s="294"/>
      <c r="S106" s="294"/>
      <c r="T106" s="294"/>
      <c r="U106" s="294"/>
      <c r="V106" s="294"/>
      <c r="W106" s="294"/>
      <c r="Y106" s="63"/>
      <c r="Z106" s="64"/>
      <c r="AA106" s="64"/>
      <c r="AB106" s="64"/>
      <c r="AC106" s="64"/>
      <c r="AD106" s="64"/>
      <c r="AE106" s="65"/>
      <c r="AG106" s="294"/>
      <c r="AH106" s="294"/>
      <c r="AI106" s="294"/>
      <c r="AJ106" s="294"/>
      <c r="AK106" s="294"/>
      <c r="AL106" s="294"/>
      <c r="AN106" s="63"/>
      <c r="AO106" s="64"/>
      <c r="AP106" s="64"/>
      <c r="AQ106" s="64"/>
      <c r="AR106" s="64"/>
      <c r="AS106" s="64"/>
      <c r="AT106" s="65"/>
    </row>
    <row r="107" ht="15.75" customHeight="1">
      <c r="A107" s="32"/>
      <c r="B107" s="32"/>
      <c r="C107" s="32"/>
      <c r="D107" s="32"/>
      <c r="E107" s="32"/>
      <c r="F107" s="32"/>
      <c r="R107" s="294"/>
      <c r="S107" s="294"/>
      <c r="T107" s="294"/>
      <c r="U107" s="294"/>
      <c r="V107" s="294"/>
      <c r="W107" s="294"/>
      <c r="AG107" s="294"/>
      <c r="AH107" s="294"/>
      <c r="AI107" s="294"/>
      <c r="AJ107" s="294"/>
      <c r="AK107" s="294"/>
      <c r="AL107" s="294"/>
    </row>
    <row r="108" ht="15.75" customHeight="1">
      <c r="A108" s="32"/>
      <c r="B108" s="32"/>
      <c r="C108" s="32"/>
      <c r="D108" s="32"/>
      <c r="E108" s="32"/>
      <c r="F108" s="32"/>
      <c r="H108" s="284" t="s">
        <v>3</v>
      </c>
      <c r="I108" s="222" t="s">
        <v>9</v>
      </c>
      <c r="J108" s="5"/>
      <c r="K108" s="6"/>
      <c r="L108" s="222" t="s">
        <v>10</v>
      </c>
      <c r="M108" s="5"/>
      <c r="N108" s="6"/>
      <c r="R108" s="294"/>
      <c r="S108" s="294"/>
      <c r="T108" s="294"/>
      <c r="U108" s="294"/>
      <c r="V108" s="294"/>
      <c r="W108" s="294"/>
      <c r="Y108" s="284" t="s">
        <v>3</v>
      </c>
      <c r="Z108" s="222" t="s">
        <v>9</v>
      </c>
      <c r="AA108" s="5"/>
      <c r="AB108" s="6"/>
      <c r="AC108" s="222" t="s">
        <v>10</v>
      </c>
      <c r="AD108" s="5"/>
      <c r="AE108" s="6"/>
      <c r="AG108" s="294"/>
      <c r="AH108" s="294"/>
      <c r="AI108" s="294"/>
      <c r="AJ108" s="294"/>
      <c r="AK108" s="294"/>
      <c r="AL108" s="294"/>
      <c r="AN108" s="284" t="s">
        <v>3</v>
      </c>
      <c r="AO108" s="222" t="s">
        <v>9</v>
      </c>
      <c r="AP108" s="5"/>
      <c r="AQ108" s="6"/>
      <c r="AR108" s="222" t="s">
        <v>10</v>
      </c>
      <c r="AS108" s="5"/>
      <c r="AT108" s="6"/>
    </row>
    <row r="109" ht="15.75" customHeight="1">
      <c r="A109" s="32"/>
      <c r="B109" s="32"/>
      <c r="C109" s="32"/>
      <c r="D109" s="32"/>
      <c r="E109" s="32"/>
      <c r="F109" s="32"/>
      <c r="H109" s="285">
        <f>SUM(B112,M94)</f>
        <v>0</v>
      </c>
      <c r="I109" s="286">
        <f>COUNT(F64:F110,I64:M92)</f>
        <v>0</v>
      </c>
      <c r="J109" s="12"/>
      <c r="K109" s="13"/>
      <c r="L109" s="286">
        <f>SUM(F64:F110)+COUNT(I64:M92)</f>
        <v>0</v>
      </c>
      <c r="M109" s="12"/>
      <c r="N109" s="13"/>
      <c r="R109" s="294"/>
      <c r="S109" s="294"/>
      <c r="T109" s="294"/>
      <c r="U109" s="294"/>
      <c r="V109" s="294"/>
      <c r="W109" s="294"/>
      <c r="Y109" s="285">
        <f>SUM(S112,AD94)</f>
        <v>0</v>
      </c>
      <c r="Z109" s="286">
        <f>COUNT(W64:W110,Z64:AD92)</f>
        <v>0</v>
      </c>
      <c r="AA109" s="12"/>
      <c r="AB109" s="13"/>
      <c r="AC109" s="286">
        <f>SUM(W64:W110)+COUNT(Z64:AD92)</f>
        <v>0</v>
      </c>
      <c r="AD109" s="12"/>
      <c r="AE109" s="13"/>
      <c r="AG109" s="294"/>
      <c r="AH109" s="294"/>
      <c r="AI109" s="294"/>
      <c r="AJ109" s="294"/>
      <c r="AK109" s="294"/>
      <c r="AL109" s="294"/>
      <c r="AN109" s="285">
        <f>SUM(AH112,AS94)</f>
        <v>0</v>
      </c>
      <c r="AO109" s="286">
        <f>COUNT(AL64:AL110,AO64:AS92)</f>
        <v>0</v>
      </c>
      <c r="AP109" s="12"/>
      <c r="AQ109" s="13"/>
      <c r="AR109" s="286">
        <f>SUM(AL64:AL110)+COUNT(AO64:AS92)</f>
        <v>0</v>
      </c>
      <c r="AS109" s="12"/>
      <c r="AT109" s="13"/>
    </row>
    <row r="110" ht="15.75" customHeight="1">
      <c r="A110" s="136"/>
      <c r="B110" s="136"/>
      <c r="C110" s="136"/>
      <c r="D110" s="136"/>
      <c r="E110" s="136"/>
      <c r="F110" s="136"/>
      <c r="H110" s="69"/>
      <c r="I110" s="63"/>
      <c r="J110" s="64"/>
      <c r="K110" s="65"/>
      <c r="L110" s="63"/>
      <c r="M110" s="64"/>
      <c r="N110" s="65"/>
      <c r="R110" s="296"/>
      <c r="S110" s="296"/>
      <c r="T110" s="296"/>
      <c r="U110" s="296"/>
      <c r="V110" s="296"/>
      <c r="W110" s="296"/>
      <c r="Y110" s="69"/>
      <c r="Z110" s="63"/>
      <c r="AA110" s="64"/>
      <c r="AB110" s="65"/>
      <c r="AC110" s="63"/>
      <c r="AD110" s="64"/>
      <c r="AE110" s="65"/>
      <c r="AG110" s="296"/>
      <c r="AH110" s="296"/>
      <c r="AI110" s="296"/>
      <c r="AJ110" s="296"/>
      <c r="AK110" s="296"/>
      <c r="AL110" s="296"/>
      <c r="AN110" s="69"/>
      <c r="AO110" s="63"/>
      <c r="AP110" s="64"/>
      <c r="AQ110" s="65"/>
      <c r="AR110" s="63"/>
      <c r="AS110" s="64"/>
      <c r="AT110" s="65"/>
    </row>
    <row r="111" ht="15.75" customHeight="1">
      <c r="A111" s="287" t="s">
        <v>1</v>
      </c>
      <c r="B111" s="5"/>
      <c r="C111" s="5"/>
      <c r="D111" s="5"/>
      <c r="E111" s="5"/>
      <c r="F111" s="5"/>
      <c r="R111" s="287" t="s">
        <v>1</v>
      </c>
      <c r="S111" s="5"/>
      <c r="T111" s="5"/>
      <c r="U111" s="5"/>
      <c r="V111" s="5"/>
      <c r="W111" s="5"/>
      <c r="AG111" s="287" t="s">
        <v>1</v>
      </c>
      <c r="AH111" s="5"/>
      <c r="AI111" s="5"/>
      <c r="AJ111" s="5"/>
      <c r="AK111" s="5"/>
      <c r="AL111" s="5"/>
    </row>
    <row r="112" ht="15.75" customHeight="1">
      <c r="A112" s="222"/>
      <c r="B112" s="288">
        <f>SUM(B64:B110)</f>
        <v>0</v>
      </c>
      <c r="C112" s="289" t="s">
        <v>11</v>
      </c>
      <c r="D112" s="289"/>
      <c r="E112" s="289"/>
      <c r="F112" s="288">
        <f>SUM(F64:F110)</f>
        <v>0</v>
      </c>
      <c r="R112" s="222"/>
      <c r="S112" s="288">
        <f>SUM(S64:S110)</f>
        <v>0</v>
      </c>
      <c r="T112" s="289" t="s">
        <v>11</v>
      </c>
      <c r="U112" s="289"/>
      <c r="V112" s="289"/>
      <c r="W112" s="288">
        <f>SUM(W64:W110)</f>
        <v>0</v>
      </c>
      <c r="AG112" s="222"/>
      <c r="AH112" s="288">
        <f>SUM(AH64:AH110)</f>
        <v>0</v>
      </c>
      <c r="AI112" s="289" t="s">
        <v>11</v>
      </c>
      <c r="AJ112" s="289"/>
      <c r="AK112" s="289"/>
      <c r="AL112" s="288">
        <f>SUM(AL64:AL110)</f>
        <v>0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I109:K110"/>
    <mergeCell ref="L109:N110"/>
    <mergeCell ref="A111:F111"/>
    <mergeCell ref="Y109:Y110"/>
    <mergeCell ref="Z109:AB110"/>
    <mergeCell ref="R111:W111"/>
    <mergeCell ref="AG111:AL111"/>
    <mergeCell ref="AO108:AQ108"/>
    <mergeCell ref="AN109:AN110"/>
    <mergeCell ref="AO109:AQ110"/>
    <mergeCell ref="I108:K108"/>
    <mergeCell ref="L108:N108"/>
    <mergeCell ref="Z108:AB108"/>
    <mergeCell ref="AC108:AE108"/>
    <mergeCell ref="AR108:AT108"/>
    <mergeCell ref="H109:H110"/>
    <mergeCell ref="AC109:AE110"/>
    <mergeCell ref="AR109:AT110"/>
    <mergeCell ref="E2:F2"/>
    <mergeCell ref="J2:N2"/>
    <mergeCell ref="W2:X2"/>
    <mergeCell ref="AA2:AE2"/>
    <mergeCell ref="AI4:AK6"/>
    <mergeCell ref="AI7:AJ8"/>
    <mergeCell ref="AK7:AK8"/>
    <mergeCell ref="AI9:AJ10"/>
    <mergeCell ref="AK9:AK10"/>
    <mergeCell ref="AI11:AJ12"/>
    <mergeCell ref="AK11:AK12"/>
    <mergeCell ref="H33:N33"/>
    <mergeCell ref="Y33:AE33"/>
    <mergeCell ref="AD34:AE34"/>
    <mergeCell ref="Z48:AB48"/>
    <mergeCell ref="AC48:AE48"/>
    <mergeCell ref="Y49:Y50"/>
    <mergeCell ref="Z49:AB50"/>
    <mergeCell ref="AC49:AE50"/>
    <mergeCell ref="AA62:AE62"/>
    <mergeCell ref="AL62:AM62"/>
    <mergeCell ref="AP62:AT62"/>
    <mergeCell ref="M34:N34"/>
    <mergeCell ref="H36:N36"/>
    <mergeCell ref="Y36:AE36"/>
    <mergeCell ref="H45:N46"/>
    <mergeCell ref="Y45:AE46"/>
    <mergeCell ref="I48:K48"/>
    <mergeCell ref="L48:N48"/>
    <mergeCell ref="H49:H50"/>
    <mergeCell ref="I49:K50"/>
    <mergeCell ref="L49:N50"/>
    <mergeCell ref="R51:W51"/>
    <mergeCell ref="A54:F54"/>
    <mergeCell ref="E62:F62"/>
    <mergeCell ref="W62:X62"/>
    <mergeCell ref="J62:N62"/>
    <mergeCell ref="Q75:Q76"/>
    <mergeCell ref="H93:N93"/>
    <mergeCell ref="Y93:AE93"/>
    <mergeCell ref="AN93:AT93"/>
    <mergeCell ref="AD94:AE94"/>
    <mergeCell ref="AS94:AT94"/>
    <mergeCell ref="M94:N94"/>
    <mergeCell ref="H96:N96"/>
    <mergeCell ref="Y96:AE96"/>
    <mergeCell ref="AN96:AT96"/>
    <mergeCell ref="H105:N106"/>
    <mergeCell ref="Y105:AE106"/>
    <mergeCell ref="AN105:AT106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6.14"/>
    <col customWidth="1" min="10" max="10" width="5.29"/>
    <col customWidth="1" min="11" max="11" width="5.71"/>
    <col customWidth="1" min="12" max="12" width="5.29"/>
    <col customWidth="1" min="13" max="13" width="5.0"/>
    <col customWidth="1" min="14" max="14" width="8.71"/>
  </cols>
  <sheetData>
    <row r="2">
      <c r="A2" s="71" t="s">
        <v>20</v>
      </c>
      <c r="B2" s="266"/>
      <c r="C2" s="266"/>
      <c r="D2" s="267"/>
      <c r="E2" s="267"/>
      <c r="F2" s="267"/>
      <c r="G2" s="266"/>
      <c r="H2" s="266"/>
      <c r="I2" s="266"/>
      <c r="J2" s="120">
        <f>TODAY()</f>
        <v>46173</v>
      </c>
      <c r="K2" s="5"/>
      <c r="L2" s="5"/>
      <c r="M2" s="5"/>
      <c r="N2" s="6"/>
    </row>
    <row r="3">
      <c r="A3" s="269" t="s">
        <v>2</v>
      </c>
      <c r="B3" s="270" t="s">
        <v>3</v>
      </c>
      <c r="C3" s="270" t="s">
        <v>4</v>
      </c>
      <c r="D3" s="270" t="s">
        <v>5</v>
      </c>
      <c r="E3" s="270" t="s">
        <v>6</v>
      </c>
      <c r="F3" s="271" t="s">
        <v>7</v>
      </c>
      <c r="G3" s="272"/>
      <c r="H3" s="273" t="s">
        <v>2</v>
      </c>
      <c r="I3" s="274"/>
      <c r="J3" s="274"/>
      <c r="K3" s="274"/>
      <c r="L3" s="274"/>
      <c r="M3" s="274"/>
      <c r="N3" s="275" t="s">
        <v>3</v>
      </c>
    </row>
    <row r="4">
      <c r="A4" s="294"/>
      <c r="B4" s="293"/>
      <c r="C4" s="294"/>
      <c r="D4" s="294"/>
      <c r="E4" s="294"/>
      <c r="F4" s="294"/>
      <c r="H4" s="293"/>
      <c r="I4" s="293"/>
      <c r="J4" s="293"/>
      <c r="K4" s="293"/>
      <c r="L4" s="293"/>
      <c r="M4" s="293"/>
      <c r="N4" s="277">
        <f t="shared" ref="N4:N32" si="1">SUM(I4:M4)</f>
        <v>0</v>
      </c>
    </row>
    <row r="5">
      <c r="A5" s="294"/>
      <c r="B5" s="294"/>
      <c r="C5" s="294"/>
      <c r="D5" s="294"/>
      <c r="E5" s="294"/>
      <c r="F5" s="294"/>
      <c r="H5" s="294"/>
      <c r="I5" s="293"/>
      <c r="J5" s="293"/>
      <c r="K5" s="293"/>
      <c r="L5" s="293"/>
      <c r="M5" s="293"/>
      <c r="N5" s="276">
        <f t="shared" si="1"/>
        <v>0</v>
      </c>
    </row>
    <row r="6">
      <c r="A6" s="294"/>
      <c r="B6" s="294"/>
      <c r="C6" s="294"/>
      <c r="D6" s="294"/>
      <c r="E6" s="294"/>
      <c r="F6" s="294"/>
      <c r="H6" s="294"/>
      <c r="I6" s="293"/>
      <c r="J6" s="293"/>
      <c r="K6" s="293"/>
      <c r="L6" s="293"/>
      <c r="M6" s="293"/>
      <c r="N6" s="276">
        <f t="shared" si="1"/>
        <v>0</v>
      </c>
    </row>
    <row r="7">
      <c r="A7" s="294"/>
      <c r="B7" s="294"/>
      <c r="C7" s="294"/>
      <c r="D7" s="294"/>
      <c r="E7" s="294"/>
      <c r="F7" s="294"/>
      <c r="H7" s="294"/>
      <c r="I7" s="293"/>
      <c r="J7" s="293"/>
      <c r="K7" s="293"/>
      <c r="L7" s="293"/>
      <c r="M7" s="293"/>
      <c r="N7" s="276">
        <f t="shared" si="1"/>
        <v>0</v>
      </c>
    </row>
    <row r="8">
      <c r="A8" s="294"/>
      <c r="B8" s="294"/>
      <c r="C8" s="294"/>
      <c r="D8" s="294"/>
      <c r="E8" s="294"/>
      <c r="F8" s="294"/>
      <c r="H8" s="294"/>
      <c r="I8" s="293"/>
      <c r="J8" s="293"/>
      <c r="K8" s="293"/>
      <c r="L8" s="293"/>
      <c r="M8" s="293"/>
      <c r="N8" s="276">
        <f t="shared" si="1"/>
        <v>0</v>
      </c>
    </row>
    <row r="9">
      <c r="A9" s="294"/>
      <c r="B9" s="294"/>
      <c r="C9" s="294"/>
      <c r="D9" s="294"/>
      <c r="E9" s="294"/>
      <c r="F9" s="294"/>
      <c r="H9" s="294"/>
      <c r="I9" s="293"/>
      <c r="J9" s="293"/>
      <c r="K9" s="293"/>
      <c r="L9" s="293"/>
      <c r="M9" s="293"/>
      <c r="N9" s="276">
        <f t="shared" si="1"/>
        <v>0</v>
      </c>
    </row>
    <row r="10">
      <c r="A10" s="294"/>
      <c r="B10" s="294"/>
      <c r="C10" s="294"/>
      <c r="D10" s="294"/>
      <c r="E10" s="294"/>
      <c r="F10" s="294"/>
      <c r="H10" s="294"/>
      <c r="I10" s="293"/>
      <c r="J10" s="293"/>
      <c r="K10" s="293"/>
      <c r="L10" s="293"/>
      <c r="M10" s="293"/>
      <c r="N10" s="276">
        <f t="shared" si="1"/>
        <v>0</v>
      </c>
    </row>
    <row r="11">
      <c r="A11" s="294"/>
      <c r="B11" s="294"/>
      <c r="C11" s="294"/>
      <c r="D11" s="294"/>
      <c r="E11" s="294"/>
      <c r="F11" s="294"/>
      <c r="H11" s="294"/>
      <c r="I11" s="293"/>
      <c r="J11" s="293"/>
      <c r="K11" s="293"/>
      <c r="L11" s="293"/>
      <c r="M11" s="293"/>
      <c r="N11" s="276">
        <f t="shared" si="1"/>
        <v>0</v>
      </c>
    </row>
    <row r="12">
      <c r="A12" s="294"/>
      <c r="B12" s="294"/>
      <c r="C12" s="294"/>
      <c r="D12" s="294"/>
      <c r="E12" s="294"/>
      <c r="F12" s="294"/>
      <c r="H12" s="294"/>
      <c r="I12" s="293"/>
      <c r="J12" s="293"/>
      <c r="K12" s="293"/>
      <c r="L12" s="293"/>
      <c r="M12" s="293"/>
      <c r="N12" s="276">
        <f t="shared" si="1"/>
        <v>0</v>
      </c>
    </row>
    <row r="13">
      <c r="A13" s="294"/>
      <c r="B13" s="294"/>
      <c r="C13" s="294"/>
      <c r="D13" s="294"/>
      <c r="E13" s="294"/>
      <c r="F13" s="294"/>
      <c r="H13" s="294"/>
      <c r="I13" s="293"/>
      <c r="J13" s="293"/>
      <c r="K13" s="293"/>
      <c r="L13" s="293"/>
      <c r="M13" s="293"/>
      <c r="N13" s="276">
        <f t="shared" si="1"/>
        <v>0</v>
      </c>
    </row>
    <row r="14">
      <c r="A14" s="294"/>
      <c r="B14" s="294"/>
      <c r="C14" s="294"/>
      <c r="D14" s="294"/>
      <c r="E14" s="294"/>
      <c r="F14" s="294"/>
      <c r="H14" s="294"/>
      <c r="I14" s="293"/>
      <c r="J14" s="293"/>
      <c r="K14" s="293"/>
      <c r="L14" s="293"/>
      <c r="M14" s="293"/>
      <c r="N14" s="276">
        <f t="shared" si="1"/>
        <v>0</v>
      </c>
    </row>
    <row r="15">
      <c r="A15" s="294"/>
      <c r="B15" s="294"/>
      <c r="C15" s="294"/>
      <c r="D15" s="294"/>
      <c r="E15" s="294"/>
      <c r="F15" s="294"/>
      <c r="H15" s="294"/>
      <c r="I15" s="293"/>
      <c r="J15" s="293"/>
      <c r="K15" s="293"/>
      <c r="L15" s="293"/>
      <c r="M15" s="293"/>
      <c r="N15" s="276">
        <f t="shared" si="1"/>
        <v>0</v>
      </c>
    </row>
    <row r="16">
      <c r="A16" s="294"/>
      <c r="B16" s="294"/>
      <c r="C16" s="294"/>
      <c r="D16" s="294"/>
      <c r="E16" s="294"/>
      <c r="F16" s="294"/>
      <c r="H16" s="294"/>
      <c r="I16" s="293"/>
      <c r="J16" s="293"/>
      <c r="K16" s="293"/>
      <c r="L16" s="293"/>
      <c r="M16" s="293"/>
      <c r="N16" s="276">
        <f t="shared" si="1"/>
        <v>0</v>
      </c>
    </row>
    <row r="17">
      <c r="A17" s="294"/>
      <c r="B17" s="294"/>
      <c r="C17" s="294"/>
      <c r="D17" s="294"/>
      <c r="E17" s="294"/>
      <c r="F17" s="294"/>
      <c r="H17" s="294"/>
      <c r="I17" s="293"/>
      <c r="J17" s="293"/>
      <c r="K17" s="293"/>
      <c r="L17" s="293"/>
      <c r="M17" s="293"/>
      <c r="N17" s="276">
        <f t="shared" si="1"/>
        <v>0</v>
      </c>
    </row>
    <row r="18">
      <c r="A18" s="294"/>
      <c r="B18" s="294"/>
      <c r="C18" s="294"/>
      <c r="D18" s="294"/>
      <c r="E18" s="294"/>
      <c r="F18" s="294"/>
      <c r="H18" s="294"/>
      <c r="I18" s="293"/>
      <c r="J18" s="293"/>
      <c r="K18" s="293"/>
      <c r="L18" s="293"/>
      <c r="M18" s="293"/>
      <c r="N18" s="276">
        <f t="shared" si="1"/>
        <v>0</v>
      </c>
    </row>
    <row r="19">
      <c r="A19" s="294"/>
      <c r="B19" s="294"/>
      <c r="C19" s="294"/>
      <c r="D19" s="294"/>
      <c r="E19" s="294"/>
      <c r="F19" s="294"/>
      <c r="H19" s="294"/>
      <c r="I19" s="293"/>
      <c r="J19" s="293"/>
      <c r="K19" s="293"/>
      <c r="L19" s="293"/>
      <c r="M19" s="293"/>
      <c r="N19" s="276">
        <f t="shared" si="1"/>
        <v>0</v>
      </c>
    </row>
    <row r="20">
      <c r="A20" s="294"/>
      <c r="B20" s="294"/>
      <c r="C20" s="294"/>
      <c r="D20" s="294"/>
      <c r="E20" s="294"/>
      <c r="F20" s="294"/>
      <c r="H20" s="294"/>
      <c r="I20" s="293"/>
      <c r="J20" s="293"/>
      <c r="K20" s="293"/>
      <c r="L20" s="293"/>
      <c r="M20" s="293"/>
      <c r="N20" s="276">
        <f t="shared" si="1"/>
        <v>0</v>
      </c>
    </row>
    <row r="21" ht="15.75" customHeight="1">
      <c r="A21" s="294"/>
      <c r="B21" s="294"/>
      <c r="C21" s="294"/>
      <c r="D21" s="294"/>
      <c r="E21" s="294"/>
      <c r="F21" s="294"/>
      <c r="H21" s="294"/>
      <c r="I21" s="293"/>
      <c r="J21" s="293"/>
      <c r="K21" s="293"/>
      <c r="L21" s="293"/>
      <c r="M21" s="293"/>
      <c r="N21" s="276">
        <f t="shared" si="1"/>
        <v>0</v>
      </c>
    </row>
    <row r="22" ht="15.75" customHeight="1">
      <c r="A22" s="294"/>
      <c r="B22" s="294"/>
      <c r="C22" s="294"/>
      <c r="D22" s="294"/>
      <c r="E22" s="294"/>
      <c r="F22" s="294"/>
      <c r="H22" s="294"/>
      <c r="I22" s="293"/>
      <c r="J22" s="293"/>
      <c r="K22" s="293"/>
      <c r="L22" s="293"/>
      <c r="M22" s="293"/>
      <c r="N22" s="276">
        <f t="shared" si="1"/>
        <v>0</v>
      </c>
    </row>
    <row r="23" ht="15.75" customHeight="1">
      <c r="A23" s="294"/>
      <c r="B23" s="294"/>
      <c r="C23" s="294"/>
      <c r="D23" s="294"/>
      <c r="E23" s="294"/>
      <c r="F23" s="294"/>
      <c r="H23" s="294"/>
      <c r="I23" s="293"/>
      <c r="J23" s="293"/>
      <c r="K23" s="293"/>
      <c r="L23" s="293"/>
      <c r="M23" s="293"/>
      <c r="N23" s="276">
        <f t="shared" si="1"/>
        <v>0</v>
      </c>
    </row>
    <row r="24" ht="15.75" customHeight="1">
      <c r="A24" s="294"/>
      <c r="B24" s="294"/>
      <c r="C24" s="294"/>
      <c r="D24" s="294"/>
      <c r="E24" s="294"/>
      <c r="F24" s="294"/>
      <c r="H24" s="294"/>
      <c r="I24" s="293"/>
      <c r="J24" s="293"/>
      <c r="K24" s="293"/>
      <c r="L24" s="293"/>
      <c r="M24" s="293"/>
      <c r="N24" s="276">
        <f t="shared" si="1"/>
        <v>0</v>
      </c>
    </row>
    <row r="25" ht="15.75" customHeight="1">
      <c r="A25" s="294"/>
      <c r="B25" s="294"/>
      <c r="C25" s="294"/>
      <c r="D25" s="294"/>
      <c r="E25" s="294"/>
      <c r="F25" s="294"/>
      <c r="H25" s="294"/>
      <c r="I25" s="293"/>
      <c r="J25" s="293"/>
      <c r="K25" s="293"/>
      <c r="L25" s="293"/>
      <c r="M25" s="293"/>
      <c r="N25" s="276">
        <f t="shared" si="1"/>
        <v>0</v>
      </c>
    </row>
    <row r="26" ht="15.75" customHeight="1">
      <c r="A26" s="294"/>
      <c r="B26" s="294"/>
      <c r="C26" s="294"/>
      <c r="D26" s="294"/>
      <c r="E26" s="294"/>
      <c r="F26" s="294"/>
      <c r="H26" s="294"/>
      <c r="I26" s="293"/>
      <c r="J26" s="293"/>
      <c r="K26" s="293"/>
      <c r="L26" s="293"/>
      <c r="M26" s="293"/>
      <c r="N26" s="276">
        <f t="shared" si="1"/>
        <v>0</v>
      </c>
    </row>
    <row r="27" ht="15.75" customHeight="1">
      <c r="A27" s="294"/>
      <c r="B27" s="294"/>
      <c r="C27" s="294"/>
      <c r="D27" s="294"/>
      <c r="E27" s="294"/>
      <c r="F27" s="294"/>
      <c r="H27" s="294"/>
      <c r="I27" s="293"/>
      <c r="J27" s="293"/>
      <c r="K27" s="293"/>
      <c r="L27" s="293"/>
      <c r="M27" s="293"/>
      <c r="N27" s="276">
        <f t="shared" si="1"/>
        <v>0</v>
      </c>
    </row>
    <row r="28" ht="15.75" customHeight="1">
      <c r="A28" s="294"/>
      <c r="B28" s="294"/>
      <c r="C28" s="294"/>
      <c r="D28" s="294"/>
      <c r="E28" s="294"/>
      <c r="F28" s="294"/>
      <c r="H28" s="294"/>
      <c r="I28" s="293"/>
      <c r="J28" s="293"/>
      <c r="K28" s="293"/>
      <c r="L28" s="293"/>
      <c r="M28" s="293"/>
      <c r="N28" s="276">
        <f t="shared" si="1"/>
        <v>0</v>
      </c>
    </row>
    <row r="29" ht="15.75" customHeight="1">
      <c r="A29" s="294"/>
      <c r="B29" s="294"/>
      <c r="C29" s="294"/>
      <c r="D29" s="294"/>
      <c r="E29" s="294"/>
      <c r="F29" s="294"/>
      <c r="H29" s="294"/>
      <c r="I29" s="293"/>
      <c r="J29" s="293"/>
      <c r="K29" s="293"/>
      <c r="L29" s="293"/>
      <c r="M29" s="293"/>
      <c r="N29" s="276">
        <f t="shared" si="1"/>
        <v>0</v>
      </c>
    </row>
    <row r="30" ht="15.75" customHeight="1">
      <c r="A30" s="294"/>
      <c r="B30" s="294"/>
      <c r="C30" s="294"/>
      <c r="D30" s="294"/>
      <c r="E30" s="294"/>
      <c r="F30" s="294"/>
      <c r="H30" s="294"/>
      <c r="I30" s="293"/>
      <c r="J30" s="293"/>
      <c r="K30" s="293"/>
      <c r="L30" s="293"/>
      <c r="M30" s="293"/>
      <c r="N30" s="276">
        <f t="shared" si="1"/>
        <v>0</v>
      </c>
    </row>
    <row r="31" ht="15.75" customHeight="1">
      <c r="A31" s="294"/>
      <c r="B31" s="294"/>
      <c r="C31" s="294"/>
      <c r="D31" s="294"/>
      <c r="E31" s="294"/>
      <c r="F31" s="294"/>
      <c r="H31" s="294"/>
      <c r="I31" s="294"/>
      <c r="J31" s="294"/>
      <c r="K31" s="294"/>
      <c r="L31" s="294"/>
      <c r="M31" s="294"/>
      <c r="N31" s="276">
        <f t="shared" si="1"/>
        <v>0</v>
      </c>
    </row>
    <row r="32" ht="15.75" customHeight="1">
      <c r="A32" s="294"/>
      <c r="B32" s="294"/>
      <c r="C32" s="294"/>
      <c r="D32" s="294"/>
      <c r="E32" s="294"/>
      <c r="F32" s="294"/>
      <c r="H32" s="294"/>
      <c r="I32" s="294"/>
      <c r="J32" s="294"/>
      <c r="K32" s="294"/>
      <c r="L32" s="294"/>
      <c r="M32" s="294"/>
      <c r="N32" s="276">
        <f t="shared" si="1"/>
        <v>0</v>
      </c>
    </row>
    <row r="33" ht="15.75" customHeight="1">
      <c r="A33" s="294"/>
      <c r="B33" s="294"/>
      <c r="C33" s="294"/>
      <c r="D33" s="294"/>
      <c r="E33" s="294"/>
      <c r="F33" s="294"/>
      <c r="H33" s="281" t="s">
        <v>21</v>
      </c>
      <c r="I33" s="106"/>
      <c r="J33" s="106"/>
      <c r="K33" s="106"/>
      <c r="L33" s="106"/>
      <c r="M33" s="106"/>
      <c r="N33" s="107"/>
    </row>
    <row r="34" ht="15.75" customHeight="1">
      <c r="A34" s="294"/>
      <c r="B34" s="294"/>
      <c r="C34" s="294"/>
      <c r="D34" s="294"/>
      <c r="E34" s="294"/>
      <c r="F34" s="294"/>
      <c r="H34" s="276"/>
      <c r="I34" s="276"/>
      <c r="J34" s="276"/>
      <c r="K34" s="276"/>
      <c r="L34" s="276"/>
      <c r="M34" s="281">
        <f>SUM(N4:N32)</f>
        <v>0</v>
      </c>
      <c r="N34" s="107"/>
    </row>
    <row r="35" ht="15.75" customHeight="1">
      <c r="A35" s="294"/>
      <c r="B35" s="294"/>
      <c r="C35" s="294"/>
      <c r="D35" s="294"/>
      <c r="E35" s="294"/>
      <c r="F35" s="294"/>
    </row>
    <row r="36" ht="15.75" customHeight="1">
      <c r="A36" s="294"/>
      <c r="B36" s="294"/>
      <c r="C36" s="294"/>
      <c r="D36" s="294"/>
      <c r="E36" s="294"/>
      <c r="F36" s="294"/>
      <c r="H36" s="282" t="s">
        <v>22</v>
      </c>
      <c r="I36" s="64"/>
      <c r="J36" s="64"/>
      <c r="K36" s="64"/>
      <c r="L36" s="64"/>
      <c r="M36" s="64"/>
      <c r="N36" s="64"/>
    </row>
    <row r="37" ht="15.75" customHeight="1">
      <c r="A37" s="294"/>
      <c r="B37" s="294"/>
      <c r="C37" s="294"/>
      <c r="D37" s="294"/>
      <c r="E37" s="294"/>
      <c r="F37" s="294"/>
    </row>
    <row r="38" ht="15.75" customHeight="1">
      <c r="A38" s="294"/>
      <c r="B38" s="294"/>
      <c r="C38" s="294"/>
      <c r="D38" s="294"/>
      <c r="E38" s="294"/>
      <c r="F38" s="294"/>
    </row>
    <row r="39" ht="15.75" customHeight="1">
      <c r="A39" s="294"/>
      <c r="B39" s="294"/>
      <c r="C39" s="294"/>
      <c r="D39" s="294"/>
      <c r="E39" s="294"/>
      <c r="F39" s="294"/>
    </row>
    <row r="40" ht="15.75" customHeight="1">
      <c r="A40" s="294"/>
      <c r="B40" s="294"/>
      <c r="C40" s="294"/>
      <c r="D40" s="294"/>
      <c r="E40" s="294"/>
      <c r="F40" s="294"/>
    </row>
    <row r="41" ht="15.75" customHeight="1">
      <c r="A41" s="294"/>
      <c r="B41" s="294"/>
      <c r="C41" s="294"/>
      <c r="D41" s="294"/>
      <c r="E41" s="294"/>
      <c r="F41" s="294"/>
    </row>
    <row r="42" ht="15.75" customHeight="1">
      <c r="A42" s="294"/>
      <c r="B42" s="294"/>
      <c r="C42" s="294"/>
      <c r="D42" s="294"/>
      <c r="E42" s="294"/>
      <c r="F42" s="294"/>
    </row>
    <row r="43" ht="15.75" customHeight="1">
      <c r="A43" s="294"/>
      <c r="B43" s="294"/>
      <c r="C43" s="294"/>
      <c r="D43" s="294"/>
      <c r="E43" s="294"/>
      <c r="F43" s="294"/>
    </row>
    <row r="44" ht="15.75" customHeight="1">
      <c r="A44" s="294"/>
      <c r="B44" s="294"/>
      <c r="C44" s="294"/>
      <c r="D44" s="294"/>
      <c r="E44" s="294"/>
      <c r="F44" s="294"/>
    </row>
    <row r="45" ht="15.75" customHeight="1">
      <c r="A45" s="294"/>
      <c r="B45" s="294"/>
      <c r="C45" s="294"/>
      <c r="D45" s="294"/>
      <c r="E45" s="294"/>
      <c r="F45" s="294"/>
      <c r="H45" s="283" t="s">
        <v>1</v>
      </c>
      <c r="I45" s="12"/>
      <c r="J45" s="12"/>
      <c r="K45" s="12"/>
      <c r="L45" s="12"/>
      <c r="M45" s="12"/>
      <c r="N45" s="13"/>
    </row>
    <row r="46" ht="15.75" customHeight="1">
      <c r="A46" s="294"/>
      <c r="B46" s="294"/>
      <c r="C46" s="294"/>
      <c r="D46" s="294"/>
      <c r="E46" s="294"/>
      <c r="F46" s="294"/>
      <c r="H46" s="63"/>
      <c r="I46" s="64"/>
      <c r="J46" s="64"/>
      <c r="K46" s="64"/>
      <c r="L46" s="64"/>
      <c r="M46" s="64"/>
      <c r="N46" s="65"/>
    </row>
    <row r="47" ht="15.75" customHeight="1">
      <c r="A47" s="294"/>
      <c r="B47" s="294"/>
      <c r="C47" s="294"/>
      <c r="D47" s="294"/>
      <c r="E47" s="294"/>
      <c r="F47" s="294"/>
    </row>
    <row r="48" ht="15.75" customHeight="1">
      <c r="A48" s="294"/>
      <c r="B48" s="294"/>
      <c r="C48" s="294"/>
      <c r="D48" s="294"/>
      <c r="E48" s="294"/>
      <c r="F48" s="294"/>
      <c r="H48" s="284" t="s">
        <v>3</v>
      </c>
      <c r="I48" s="222" t="s">
        <v>9</v>
      </c>
      <c r="J48" s="5"/>
      <c r="K48" s="6"/>
      <c r="L48" s="222" t="s">
        <v>10</v>
      </c>
      <c r="M48" s="5"/>
      <c r="N48" s="6"/>
    </row>
    <row r="49" ht="15.75" customHeight="1">
      <c r="A49" s="294"/>
      <c r="B49" s="294"/>
      <c r="C49" s="294"/>
      <c r="D49" s="294"/>
      <c r="E49" s="294"/>
      <c r="F49" s="294"/>
      <c r="H49" s="285">
        <f>SUM(B55,M34)</f>
        <v>0</v>
      </c>
      <c r="I49" s="286">
        <f>COUNT(F4:F53,I4:M32)</f>
        <v>0</v>
      </c>
      <c r="J49" s="12"/>
      <c r="K49" s="13"/>
      <c r="L49" s="286">
        <f>SUM(F4:F53)+COUNT(I4:M32)</f>
        <v>0</v>
      </c>
      <c r="M49" s="12"/>
      <c r="N49" s="13"/>
    </row>
    <row r="50" ht="15.75" customHeight="1">
      <c r="A50" s="294"/>
      <c r="B50" s="294"/>
      <c r="C50" s="294"/>
      <c r="D50" s="294"/>
      <c r="E50" s="294"/>
      <c r="F50" s="294"/>
      <c r="H50" s="69"/>
      <c r="I50" s="63"/>
      <c r="J50" s="64"/>
      <c r="K50" s="65"/>
      <c r="L50" s="63"/>
      <c r="M50" s="64"/>
      <c r="N50" s="65"/>
    </row>
    <row r="51" ht="15.75" customHeight="1">
      <c r="A51" s="294"/>
      <c r="B51" s="294"/>
      <c r="C51" s="294"/>
      <c r="D51" s="294"/>
      <c r="E51" s="294"/>
      <c r="F51" s="294"/>
    </row>
    <row r="52" ht="15.75" customHeight="1">
      <c r="A52" s="294"/>
      <c r="B52" s="294"/>
      <c r="C52" s="294"/>
      <c r="D52" s="294"/>
      <c r="E52" s="294"/>
      <c r="F52" s="294"/>
    </row>
    <row r="53" ht="15.75" customHeight="1">
      <c r="A53" s="296"/>
      <c r="B53" s="296"/>
      <c r="C53" s="296"/>
      <c r="D53" s="296"/>
      <c r="E53" s="296"/>
      <c r="F53" s="296"/>
    </row>
    <row r="54" ht="15.75" customHeight="1">
      <c r="A54" s="287" t="s">
        <v>1</v>
      </c>
      <c r="B54" s="5"/>
      <c r="C54" s="5"/>
      <c r="D54" s="5"/>
      <c r="E54" s="5"/>
      <c r="F54" s="5"/>
    </row>
    <row r="55" ht="15.75" customHeight="1">
      <c r="A55" s="222"/>
      <c r="B55" s="288">
        <f>SUM(B4:B53)</f>
        <v>0</v>
      </c>
      <c r="C55" s="289" t="s">
        <v>11</v>
      </c>
      <c r="D55" s="289"/>
      <c r="E55" s="289"/>
      <c r="F55" s="288">
        <f>SUM(F4:F53)</f>
        <v>0</v>
      </c>
    </row>
    <row r="56" ht="15.75" customHeight="1"/>
    <row r="57" ht="15.75" customHeight="1">
      <c r="A57" s="71" t="s">
        <v>23</v>
      </c>
      <c r="B57" s="266"/>
      <c r="C57" s="266"/>
      <c r="D57" s="267"/>
      <c r="E57" s="267"/>
      <c r="F57" s="267"/>
      <c r="G57" s="266"/>
      <c r="H57" s="266"/>
      <c r="I57" s="266"/>
      <c r="J57" s="120">
        <f>TODAY()</f>
        <v>46173</v>
      </c>
      <c r="K57" s="5"/>
      <c r="L57" s="5"/>
      <c r="M57" s="5"/>
      <c r="N57" s="6"/>
    </row>
    <row r="58" ht="15.75" customHeight="1">
      <c r="A58" s="269" t="s">
        <v>2</v>
      </c>
      <c r="B58" s="270" t="s">
        <v>3</v>
      </c>
      <c r="C58" s="270" t="s">
        <v>4</v>
      </c>
      <c r="D58" s="270" t="s">
        <v>5</v>
      </c>
      <c r="E58" s="270" t="s">
        <v>6</v>
      </c>
      <c r="F58" s="271" t="s">
        <v>7</v>
      </c>
      <c r="G58" s="272"/>
      <c r="H58" s="273" t="s">
        <v>2</v>
      </c>
      <c r="I58" s="274"/>
      <c r="J58" s="274"/>
      <c r="K58" s="274"/>
      <c r="L58" s="274"/>
      <c r="M58" s="274"/>
      <c r="N58" s="275" t="s">
        <v>3</v>
      </c>
    </row>
    <row r="59" ht="15.75" customHeight="1">
      <c r="A59" s="294"/>
      <c r="B59" s="293"/>
      <c r="C59" s="294"/>
      <c r="D59" s="294"/>
      <c r="E59" s="294"/>
      <c r="F59" s="294"/>
      <c r="H59" s="293"/>
      <c r="I59" s="293"/>
      <c r="J59" s="293"/>
      <c r="K59" s="293"/>
      <c r="L59" s="293"/>
      <c r="M59" s="293"/>
      <c r="N59" s="277">
        <f t="shared" ref="N59:N87" si="2">SUM(I59:M59)</f>
        <v>0</v>
      </c>
    </row>
    <row r="60" ht="15.75" customHeight="1">
      <c r="A60" s="294"/>
      <c r="B60" s="294"/>
      <c r="C60" s="294"/>
      <c r="D60" s="294"/>
      <c r="E60" s="294"/>
      <c r="F60" s="294"/>
      <c r="H60" s="294"/>
      <c r="I60" s="293"/>
      <c r="J60" s="293"/>
      <c r="K60" s="293"/>
      <c r="L60" s="293"/>
      <c r="M60" s="293"/>
      <c r="N60" s="276">
        <f t="shared" si="2"/>
        <v>0</v>
      </c>
    </row>
    <row r="61" ht="15.75" customHeight="1">
      <c r="A61" s="294"/>
      <c r="B61" s="294"/>
      <c r="C61" s="294"/>
      <c r="D61" s="294"/>
      <c r="E61" s="294"/>
      <c r="F61" s="294"/>
      <c r="H61" s="294"/>
      <c r="I61" s="293"/>
      <c r="J61" s="293"/>
      <c r="K61" s="293"/>
      <c r="L61" s="293"/>
      <c r="M61" s="293"/>
      <c r="N61" s="276">
        <f t="shared" si="2"/>
        <v>0</v>
      </c>
    </row>
    <row r="62" ht="15.75" customHeight="1">
      <c r="A62" s="294"/>
      <c r="B62" s="294"/>
      <c r="C62" s="294"/>
      <c r="D62" s="294"/>
      <c r="E62" s="294"/>
      <c r="F62" s="294"/>
      <c r="H62" s="294"/>
      <c r="I62" s="293"/>
      <c r="J62" s="293"/>
      <c r="K62" s="293"/>
      <c r="L62" s="293"/>
      <c r="M62" s="293"/>
      <c r="N62" s="276">
        <f t="shared" si="2"/>
        <v>0</v>
      </c>
    </row>
    <row r="63" ht="15.75" customHeight="1">
      <c r="A63" s="294"/>
      <c r="B63" s="294"/>
      <c r="C63" s="294"/>
      <c r="D63" s="294"/>
      <c r="E63" s="294"/>
      <c r="F63" s="294"/>
      <c r="H63" s="294"/>
      <c r="I63" s="293"/>
      <c r="J63" s="293"/>
      <c r="K63" s="293"/>
      <c r="L63" s="293"/>
      <c r="M63" s="293"/>
      <c r="N63" s="276">
        <f t="shared" si="2"/>
        <v>0</v>
      </c>
    </row>
    <row r="64" ht="15.75" customHeight="1">
      <c r="A64" s="294"/>
      <c r="B64" s="294"/>
      <c r="C64" s="294"/>
      <c r="D64" s="294"/>
      <c r="E64" s="294"/>
      <c r="F64" s="294"/>
      <c r="H64" s="294"/>
      <c r="I64" s="293"/>
      <c r="J64" s="293"/>
      <c r="K64" s="293"/>
      <c r="L64" s="293"/>
      <c r="M64" s="293"/>
      <c r="N64" s="276">
        <f t="shared" si="2"/>
        <v>0</v>
      </c>
    </row>
    <row r="65" ht="15.75" customHeight="1">
      <c r="A65" s="294"/>
      <c r="B65" s="294"/>
      <c r="C65" s="294"/>
      <c r="D65" s="294"/>
      <c r="E65" s="294"/>
      <c r="F65" s="294"/>
      <c r="H65" s="294"/>
      <c r="I65" s="293"/>
      <c r="J65" s="293"/>
      <c r="K65" s="293"/>
      <c r="L65" s="293"/>
      <c r="M65" s="293"/>
      <c r="N65" s="276">
        <f t="shared" si="2"/>
        <v>0</v>
      </c>
    </row>
    <row r="66" ht="15.75" customHeight="1">
      <c r="A66" s="294"/>
      <c r="B66" s="294"/>
      <c r="C66" s="294"/>
      <c r="D66" s="294"/>
      <c r="E66" s="294"/>
      <c r="F66" s="294"/>
      <c r="H66" s="294"/>
      <c r="I66" s="293"/>
      <c r="J66" s="293"/>
      <c r="K66" s="293"/>
      <c r="L66" s="293"/>
      <c r="M66" s="293"/>
      <c r="N66" s="276">
        <f t="shared" si="2"/>
        <v>0</v>
      </c>
    </row>
    <row r="67" ht="15.75" customHeight="1">
      <c r="A67" s="294"/>
      <c r="B67" s="294"/>
      <c r="C67" s="294"/>
      <c r="D67" s="294"/>
      <c r="E67" s="294"/>
      <c r="F67" s="294"/>
      <c r="H67" s="294"/>
      <c r="I67" s="293"/>
      <c r="J67" s="293"/>
      <c r="K67" s="293"/>
      <c r="L67" s="293"/>
      <c r="M67" s="293"/>
      <c r="N67" s="276">
        <f t="shared" si="2"/>
        <v>0</v>
      </c>
    </row>
    <row r="68" ht="15.75" customHeight="1">
      <c r="A68" s="294"/>
      <c r="B68" s="294"/>
      <c r="C68" s="294"/>
      <c r="D68" s="294"/>
      <c r="E68" s="294"/>
      <c r="F68" s="294"/>
      <c r="H68" s="294"/>
      <c r="I68" s="293"/>
      <c r="J68" s="293"/>
      <c r="K68" s="293"/>
      <c r="L68" s="293"/>
      <c r="M68" s="293"/>
      <c r="N68" s="276">
        <f t="shared" si="2"/>
        <v>0</v>
      </c>
    </row>
    <row r="69" ht="15.75" customHeight="1">
      <c r="A69" s="294"/>
      <c r="B69" s="294"/>
      <c r="C69" s="294"/>
      <c r="D69" s="294"/>
      <c r="E69" s="294"/>
      <c r="F69" s="294"/>
      <c r="H69" s="294"/>
      <c r="I69" s="293"/>
      <c r="J69" s="293"/>
      <c r="K69" s="293"/>
      <c r="L69" s="293"/>
      <c r="M69" s="293"/>
      <c r="N69" s="276">
        <f t="shared" si="2"/>
        <v>0</v>
      </c>
    </row>
    <row r="70" ht="15.75" customHeight="1">
      <c r="A70" s="294"/>
      <c r="B70" s="294"/>
      <c r="C70" s="294"/>
      <c r="D70" s="294"/>
      <c r="E70" s="294"/>
      <c r="F70" s="294"/>
      <c r="H70" s="294"/>
      <c r="I70" s="293"/>
      <c r="J70" s="293"/>
      <c r="K70" s="293"/>
      <c r="L70" s="293"/>
      <c r="M70" s="293"/>
      <c r="N70" s="276">
        <f t="shared" si="2"/>
        <v>0</v>
      </c>
    </row>
    <row r="71" ht="15.75" customHeight="1">
      <c r="A71" s="294"/>
      <c r="B71" s="294"/>
      <c r="C71" s="294"/>
      <c r="D71" s="294"/>
      <c r="E71" s="294"/>
      <c r="F71" s="294"/>
      <c r="H71" s="294"/>
      <c r="I71" s="293"/>
      <c r="J71" s="293"/>
      <c r="K71" s="293"/>
      <c r="L71" s="293"/>
      <c r="M71" s="293"/>
      <c r="N71" s="276">
        <f t="shared" si="2"/>
        <v>0</v>
      </c>
    </row>
    <row r="72" ht="15.75" customHeight="1">
      <c r="A72" s="294"/>
      <c r="B72" s="294"/>
      <c r="C72" s="294"/>
      <c r="D72" s="294"/>
      <c r="E72" s="294"/>
      <c r="F72" s="294"/>
      <c r="H72" s="294"/>
      <c r="I72" s="293"/>
      <c r="J72" s="293"/>
      <c r="K72" s="293"/>
      <c r="L72" s="293"/>
      <c r="M72" s="293"/>
      <c r="N72" s="276">
        <f t="shared" si="2"/>
        <v>0</v>
      </c>
    </row>
    <row r="73" ht="15.75" customHeight="1">
      <c r="A73" s="294"/>
      <c r="B73" s="294"/>
      <c r="C73" s="294"/>
      <c r="D73" s="294"/>
      <c r="E73" s="294"/>
      <c r="F73" s="294"/>
      <c r="H73" s="294"/>
      <c r="I73" s="293"/>
      <c r="J73" s="293"/>
      <c r="K73" s="293"/>
      <c r="L73" s="293"/>
      <c r="M73" s="293"/>
      <c r="N73" s="276">
        <f t="shared" si="2"/>
        <v>0</v>
      </c>
    </row>
    <row r="74" ht="15.75" customHeight="1">
      <c r="A74" s="294"/>
      <c r="B74" s="294"/>
      <c r="C74" s="294"/>
      <c r="D74" s="294"/>
      <c r="E74" s="294"/>
      <c r="F74" s="294"/>
      <c r="H74" s="294"/>
      <c r="I74" s="293"/>
      <c r="J74" s="293"/>
      <c r="K74" s="293"/>
      <c r="L74" s="293"/>
      <c r="M74" s="293"/>
      <c r="N74" s="276">
        <f t="shared" si="2"/>
        <v>0</v>
      </c>
    </row>
    <row r="75" ht="15.75" customHeight="1">
      <c r="A75" s="294"/>
      <c r="B75" s="294"/>
      <c r="C75" s="294"/>
      <c r="D75" s="294"/>
      <c r="E75" s="294"/>
      <c r="F75" s="294"/>
      <c r="H75" s="294"/>
      <c r="I75" s="293"/>
      <c r="J75" s="293"/>
      <c r="K75" s="293"/>
      <c r="L75" s="293"/>
      <c r="M75" s="293"/>
      <c r="N75" s="276">
        <f t="shared" si="2"/>
        <v>0</v>
      </c>
    </row>
    <row r="76" ht="15.75" customHeight="1">
      <c r="A76" s="294"/>
      <c r="B76" s="294"/>
      <c r="C76" s="294"/>
      <c r="D76" s="294"/>
      <c r="E76" s="294"/>
      <c r="F76" s="294"/>
      <c r="H76" s="294"/>
      <c r="I76" s="293"/>
      <c r="J76" s="293"/>
      <c r="K76" s="293"/>
      <c r="L76" s="293"/>
      <c r="M76" s="293"/>
      <c r="N76" s="276">
        <f t="shared" si="2"/>
        <v>0</v>
      </c>
    </row>
    <row r="77" ht="15.75" customHeight="1">
      <c r="A77" s="294"/>
      <c r="B77" s="294"/>
      <c r="C77" s="294"/>
      <c r="D77" s="294"/>
      <c r="E77" s="294"/>
      <c r="F77" s="294"/>
      <c r="H77" s="294"/>
      <c r="I77" s="293"/>
      <c r="J77" s="293"/>
      <c r="K77" s="293"/>
      <c r="L77" s="293"/>
      <c r="M77" s="293"/>
      <c r="N77" s="276">
        <f t="shared" si="2"/>
        <v>0</v>
      </c>
    </row>
    <row r="78" ht="15.75" customHeight="1">
      <c r="A78" s="294"/>
      <c r="B78" s="294"/>
      <c r="C78" s="294"/>
      <c r="D78" s="294"/>
      <c r="E78" s="294"/>
      <c r="F78" s="294"/>
      <c r="H78" s="294"/>
      <c r="I78" s="293"/>
      <c r="J78" s="293"/>
      <c r="K78" s="293"/>
      <c r="L78" s="293"/>
      <c r="M78" s="293"/>
      <c r="N78" s="276">
        <f t="shared" si="2"/>
        <v>0</v>
      </c>
    </row>
    <row r="79" ht="15.75" customHeight="1">
      <c r="A79" s="294"/>
      <c r="B79" s="294"/>
      <c r="C79" s="294"/>
      <c r="D79" s="294"/>
      <c r="E79" s="294"/>
      <c r="F79" s="294"/>
      <c r="H79" s="294"/>
      <c r="I79" s="293"/>
      <c r="J79" s="293"/>
      <c r="K79" s="293"/>
      <c r="L79" s="293"/>
      <c r="M79" s="293"/>
      <c r="N79" s="276">
        <f t="shared" si="2"/>
        <v>0</v>
      </c>
    </row>
    <row r="80" ht="15.75" customHeight="1">
      <c r="A80" s="294"/>
      <c r="B80" s="294"/>
      <c r="C80" s="294"/>
      <c r="D80" s="294"/>
      <c r="E80" s="294"/>
      <c r="F80" s="294"/>
      <c r="H80" s="294"/>
      <c r="I80" s="293"/>
      <c r="J80" s="293"/>
      <c r="K80" s="293"/>
      <c r="L80" s="293"/>
      <c r="M80" s="293"/>
      <c r="N80" s="276">
        <f t="shared" si="2"/>
        <v>0</v>
      </c>
    </row>
    <row r="81" ht="15.75" customHeight="1">
      <c r="A81" s="294"/>
      <c r="B81" s="294"/>
      <c r="C81" s="294"/>
      <c r="D81" s="294"/>
      <c r="E81" s="294"/>
      <c r="F81" s="294"/>
      <c r="H81" s="294"/>
      <c r="I81" s="293"/>
      <c r="J81" s="293"/>
      <c r="K81" s="293"/>
      <c r="L81" s="293"/>
      <c r="M81" s="293"/>
      <c r="N81" s="276">
        <f t="shared" si="2"/>
        <v>0</v>
      </c>
    </row>
    <row r="82" ht="15.75" customHeight="1">
      <c r="A82" s="294"/>
      <c r="B82" s="294"/>
      <c r="C82" s="294"/>
      <c r="D82" s="294"/>
      <c r="E82" s="294"/>
      <c r="F82" s="294"/>
      <c r="H82" s="294"/>
      <c r="I82" s="293"/>
      <c r="J82" s="293"/>
      <c r="K82" s="293"/>
      <c r="L82" s="293"/>
      <c r="M82" s="293"/>
      <c r="N82" s="276">
        <f t="shared" si="2"/>
        <v>0</v>
      </c>
    </row>
    <row r="83" ht="15.75" customHeight="1">
      <c r="A83" s="294"/>
      <c r="B83" s="294"/>
      <c r="C83" s="294"/>
      <c r="D83" s="294"/>
      <c r="E83" s="294"/>
      <c r="F83" s="294"/>
      <c r="H83" s="294"/>
      <c r="I83" s="293"/>
      <c r="J83" s="293"/>
      <c r="K83" s="293"/>
      <c r="L83" s="293"/>
      <c r="M83" s="293"/>
      <c r="N83" s="276">
        <f t="shared" si="2"/>
        <v>0</v>
      </c>
    </row>
    <row r="84" ht="15.75" customHeight="1">
      <c r="A84" s="294"/>
      <c r="B84" s="294"/>
      <c r="C84" s="294"/>
      <c r="D84" s="294"/>
      <c r="E84" s="294"/>
      <c r="F84" s="294"/>
      <c r="H84" s="294"/>
      <c r="I84" s="293"/>
      <c r="J84" s="293"/>
      <c r="K84" s="293"/>
      <c r="L84" s="293"/>
      <c r="M84" s="293"/>
      <c r="N84" s="276">
        <f t="shared" si="2"/>
        <v>0</v>
      </c>
    </row>
    <row r="85" ht="15.75" customHeight="1">
      <c r="A85" s="294"/>
      <c r="B85" s="294"/>
      <c r="C85" s="294"/>
      <c r="D85" s="294"/>
      <c r="E85" s="294"/>
      <c r="F85" s="294"/>
      <c r="H85" s="294"/>
      <c r="I85" s="293"/>
      <c r="J85" s="293"/>
      <c r="K85" s="293"/>
      <c r="L85" s="293"/>
      <c r="M85" s="293"/>
      <c r="N85" s="276">
        <f t="shared" si="2"/>
        <v>0</v>
      </c>
    </row>
    <row r="86" ht="15.75" customHeight="1">
      <c r="A86" s="294"/>
      <c r="B86" s="294"/>
      <c r="C86" s="294"/>
      <c r="D86" s="294"/>
      <c r="E86" s="294"/>
      <c r="F86" s="294"/>
      <c r="H86" s="294"/>
      <c r="I86" s="294"/>
      <c r="J86" s="294"/>
      <c r="K86" s="294"/>
      <c r="L86" s="294"/>
      <c r="M86" s="294"/>
      <c r="N86" s="276">
        <f t="shared" si="2"/>
        <v>0</v>
      </c>
    </row>
    <row r="87" ht="15.75" customHeight="1">
      <c r="A87" s="294"/>
      <c r="B87" s="294"/>
      <c r="C87" s="294"/>
      <c r="D87" s="294"/>
      <c r="E87" s="294"/>
      <c r="F87" s="294"/>
      <c r="H87" s="294"/>
      <c r="I87" s="294"/>
      <c r="J87" s="294"/>
      <c r="K87" s="294"/>
      <c r="L87" s="294"/>
      <c r="M87" s="294"/>
      <c r="N87" s="276">
        <f t="shared" si="2"/>
        <v>0</v>
      </c>
    </row>
    <row r="88" ht="15.75" customHeight="1">
      <c r="A88" s="294"/>
      <c r="B88" s="294"/>
      <c r="C88" s="294"/>
      <c r="D88" s="294"/>
      <c r="E88" s="294"/>
      <c r="F88" s="294"/>
      <c r="H88" s="281" t="s">
        <v>21</v>
      </c>
      <c r="I88" s="106"/>
      <c r="J88" s="106"/>
      <c r="K88" s="106"/>
      <c r="L88" s="106"/>
      <c r="M88" s="106"/>
      <c r="N88" s="107"/>
    </row>
    <row r="89" ht="15.75" customHeight="1">
      <c r="A89" s="294"/>
      <c r="B89" s="294"/>
      <c r="C89" s="294"/>
      <c r="D89" s="294"/>
      <c r="E89" s="294"/>
      <c r="F89" s="294"/>
      <c r="H89" s="276"/>
      <c r="I89" s="276"/>
      <c r="J89" s="276"/>
      <c r="K89" s="276"/>
      <c r="L89" s="276"/>
      <c r="M89" s="281">
        <f>SUM(N59:N87)</f>
        <v>0</v>
      </c>
      <c r="N89" s="107"/>
    </row>
    <row r="90" ht="15.75" customHeight="1">
      <c r="A90" s="294"/>
      <c r="B90" s="294"/>
      <c r="C90" s="294"/>
      <c r="D90" s="294"/>
      <c r="E90" s="294"/>
      <c r="F90" s="294"/>
    </row>
    <row r="91" ht="15.75" customHeight="1">
      <c r="A91" s="294"/>
      <c r="B91" s="294"/>
      <c r="C91" s="294"/>
      <c r="D91" s="294"/>
      <c r="E91" s="294"/>
      <c r="F91" s="294"/>
      <c r="H91" s="282" t="s">
        <v>22</v>
      </c>
      <c r="I91" s="64"/>
      <c r="J91" s="64"/>
      <c r="K91" s="64"/>
      <c r="L91" s="64"/>
      <c r="M91" s="64"/>
      <c r="N91" s="64"/>
    </row>
    <row r="92" ht="15.75" customHeight="1">
      <c r="A92" s="294"/>
      <c r="B92" s="294"/>
      <c r="C92" s="294"/>
      <c r="D92" s="294"/>
      <c r="E92" s="294"/>
      <c r="F92" s="294"/>
    </row>
    <row r="93" ht="15.75" customHeight="1">
      <c r="A93" s="294"/>
      <c r="B93" s="294"/>
      <c r="C93" s="294"/>
      <c r="D93" s="294"/>
      <c r="E93" s="294"/>
      <c r="F93" s="294"/>
    </row>
    <row r="94" ht="15.75" customHeight="1">
      <c r="A94" s="294"/>
      <c r="B94" s="294"/>
      <c r="C94" s="294"/>
      <c r="D94" s="294"/>
      <c r="E94" s="294"/>
      <c r="F94" s="294"/>
    </row>
    <row r="95" ht="15.75" customHeight="1">
      <c r="A95" s="294"/>
      <c r="B95" s="294"/>
      <c r="C95" s="294"/>
      <c r="D95" s="294"/>
      <c r="E95" s="294"/>
      <c r="F95" s="294"/>
    </row>
    <row r="96" ht="15.75" customHeight="1">
      <c r="A96" s="294"/>
      <c r="B96" s="294"/>
      <c r="C96" s="294"/>
      <c r="D96" s="294"/>
      <c r="E96" s="294"/>
      <c r="F96" s="294"/>
    </row>
    <row r="97" ht="15.75" customHeight="1">
      <c r="A97" s="294"/>
      <c r="B97" s="294"/>
      <c r="C97" s="294"/>
      <c r="D97" s="294"/>
      <c r="E97" s="294"/>
      <c r="F97" s="294"/>
    </row>
    <row r="98" ht="15.75" customHeight="1">
      <c r="A98" s="294"/>
      <c r="B98" s="294"/>
      <c r="C98" s="294"/>
      <c r="D98" s="294"/>
      <c r="E98" s="294"/>
      <c r="F98" s="294"/>
    </row>
    <row r="99" ht="15.75" customHeight="1">
      <c r="A99" s="294"/>
      <c r="B99" s="294"/>
      <c r="C99" s="294"/>
      <c r="D99" s="294"/>
      <c r="E99" s="294"/>
      <c r="F99" s="294"/>
    </row>
    <row r="100" ht="15.75" customHeight="1">
      <c r="A100" s="294"/>
      <c r="B100" s="294"/>
      <c r="C100" s="294"/>
      <c r="D100" s="294"/>
      <c r="E100" s="294"/>
      <c r="F100" s="294"/>
      <c r="H100" s="283" t="s">
        <v>1</v>
      </c>
      <c r="I100" s="12"/>
      <c r="J100" s="12"/>
      <c r="K100" s="12"/>
      <c r="L100" s="12"/>
      <c r="M100" s="12"/>
      <c r="N100" s="13"/>
    </row>
    <row r="101" ht="15.75" customHeight="1">
      <c r="A101" s="294"/>
      <c r="B101" s="294"/>
      <c r="C101" s="294"/>
      <c r="D101" s="294"/>
      <c r="E101" s="294"/>
      <c r="F101" s="294"/>
      <c r="H101" s="63"/>
      <c r="I101" s="64"/>
      <c r="J101" s="64"/>
      <c r="K101" s="64"/>
      <c r="L101" s="64"/>
      <c r="M101" s="64"/>
      <c r="N101" s="65"/>
    </row>
    <row r="102" ht="15.75" customHeight="1">
      <c r="A102" s="294"/>
      <c r="B102" s="294"/>
      <c r="C102" s="294"/>
      <c r="D102" s="294"/>
      <c r="E102" s="294"/>
      <c r="F102" s="294"/>
    </row>
    <row r="103" ht="15.75" customHeight="1">
      <c r="A103" s="294"/>
      <c r="B103" s="294"/>
      <c r="C103" s="294"/>
      <c r="D103" s="294"/>
      <c r="E103" s="294"/>
      <c r="F103" s="294"/>
      <c r="H103" s="284" t="s">
        <v>3</v>
      </c>
      <c r="I103" s="222" t="s">
        <v>9</v>
      </c>
      <c r="J103" s="5"/>
      <c r="K103" s="6"/>
      <c r="L103" s="222" t="s">
        <v>10</v>
      </c>
      <c r="M103" s="5"/>
      <c r="N103" s="6"/>
    </row>
    <row r="104" ht="15.75" customHeight="1">
      <c r="A104" s="294"/>
      <c r="B104" s="294"/>
      <c r="C104" s="294"/>
      <c r="D104" s="294"/>
      <c r="E104" s="294"/>
      <c r="F104" s="294"/>
      <c r="H104" s="285">
        <f>SUM(B110,M89)</f>
        <v>0</v>
      </c>
      <c r="I104" s="286">
        <f>COUNT(F59:F108,I59:M87)</f>
        <v>0</v>
      </c>
      <c r="J104" s="12"/>
      <c r="K104" s="13"/>
      <c r="L104" s="286">
        <f>SUM(F59:F108)+COUNT(I59:M87)</f>
        <v>0</v>
      </c>
      <c r="M104" s="12"/>
      <c r="N104" s="13"/>
    </row>
    <row r="105" ht="15.75" customHeight="1">
      <c r="A105" s="294"/>
      <c r="B105" s="294"/>
      <c r="C105" s="294"/>
      <c r="D105" s="294"/>
      <c r="E105" s="294"/>
      <c r="F105" s="294"/>
      <c r="H105" s="69"/>
      <c r="I105" s="63"/>
      <c r="J105" s="64"/>
      <c r="K105" s="65"/>
      <c r="L105" s="63"/>
      <c r="M105" s="64"/>
      <c r="N105" s="65"/>
    </row>
    <row r="106" ht="15.75" customHeight="1">
      <c r="A106" s="294"/>
      <c r="B106" s="294"/>
      <c r="C106" s="294"/>
      <c r="D106" s="294"/>
      <c r="E106" s="294"/>
      <c r="F106" s="294"/>
    </row>
    <row r="107" ht="15.75" customHeight="1">
      <c r="A107" s="296"/>
      <c r="B107" s="296"/>
      <c r="C107" s="296"/>
      <c r="D107" s="296"/>
      <c r="E107" s="296"/>
      <c r="F107" s="296"/>
    </row>
    <row r="108" ht="15.75" customHeight="1">
      <c r="A108" s="296"/>
      <c r="B108" s="296"/>
      <c r="C108" s="296"/>
      <c r="D108" s="296"/>
      <c r="E108" s="296"/>
      <c r="F108" s="296"/>
    </row>
    <row r="109" ht="15.75" customHeight="1">
      <c r="A109" s="287" t="s">
        <v>1</v>
      </c>
      <c r="B109" s="5"/>
      <c r="C109" s="5"/>
      <c r="D109" s="5"/>
      <c r="E109" s="5"/>
      <c r="F109" s="5"/>
    </row>
    <row r="110" ht="15.75" customHeight="1">
      <c r="A110" s="222"/>
      <c r="B110" s="288">
        <f>SUM(B59:B108)</f>
        <v>0</v>
      </c>
      <c r="C110" s="289" t="s">
        <v>11</v>
      </c>
      <c r="D110" s="289"/>
      <c r="E110" s="289"/>
      <c r="F110" s="288">
        <f>SUM(F59:F108)</f>
        <v>0</v>
      </c>
    </row>
    <row r="111" ht="15.75" customHeight="1"/>
    <row r="112">
      <c r="A112" s="71" t="s">
        <v>24</v>
      </c>
      <c r="B112" s="266"/>
      <c r="C112" s="266"/>
      <c r="D112" s="267"/>
      <c r="E112" s="267"/>
      <c r="F112" s="267"/>
      <c r="G112" s="266"/>
      <c r="H112" s="266"/>
      <c r="I112" s="266"/>
      <c r="J112" s="120">
        <f>TODAY()</f>
        <v>46173</v>
      </c>
      <c r="K112" s="5"/>
      <c r="L112" s="5"/>
      <c r="M112" s="5"/>
      <c r="N112" s="6"/>
    </row>
    <row r="113" ht="15.75" customHeight="1">
      <c r="A113" s="269" t="s">
        <v>2</v>
      </c>
      <c r="B113" s="270" t="s">
        <v>3</v>
      </c>
      <c r="C113" s="270" t="s">
        <v>4</v>
      </c>
      <c r="D113" s="270" t="s">
        <v>5</v>
      </c>
      <c r="E113" s="270" t="s">
        <v>6</v>
      </c>
      <c r="F113" s="271" t="s">
        <v>7</v>
      </c>
      <c r="G113" s="272"/>
      <c r="H113" s="273" t="s">
        <v>2</v>
      </c>
      <c r="I113" s="274"/>
      <c r="J113" s="274"/>
      <c r="K113" s="274"/>
      <c r="L113" s="274"/>
      <c r="M113" s="274"/>
      <c r="N113" s="275" t="s">
        <v>3</v>
      </c>
    </row>
    <row r="114" ht="15.75" customHeight="1">
      <c r="A114" s="294"/>
      <c r="B114" s="294"/>
      <c r="C114" s="294"/>
      <c r="D114" s="294"/>
      <c r="E114" s="294"/>
      <c r="F114" s="294"/>
      <c r="H114" s="293"/>
      <c r="I114" s="293"/>
      <c r="J114" s="293"/>
      <c r="K114" s="293"/>
      <c r="L114" s="293"/>
      <c r="M114" s="293"/>
      <c r="N114" s="277">
        <f t="shared" ref="N114:N134" si="3">SUM(I114:M114)</f>
        <v>0</v>
      </c>
    </row>
    <row r="115" ht="15.75" customHeight="1">
      <c r="A115" s="294"/>
      <c r="B115" s="294"/>
      <c r="C115" s="294"/>
      <c r="D115" s="294"/>
      <c r="E115" s="294"/>
      <c r="F115" s="294"/>
      <c r="H115" s="294"/>
      <c r="I115" s="293"/>
      <c r="J115" s="293"/>
      <c r="K115" s="293"/>
      <c r="L115" s="293"/>
      <c r="M115" s="293"/>
      <c r="N115" s="276">
        <f t="shared" si="3"/>
        <v>0</v>
      </c>
    </row>
    <row r="116" ht="15.75" customHeight="1">
      <c r="A116" s="294"/>
      <c r="B116" s="294"/>
      <c r="C116" s="294"/>
      <c r="D116" s="294"/>
      <c r="E116" s="294"/>
      <c r="F116" s="294"/>
      <c r="H116" s="294"/>
      <c r="I116" s="293"/>
      <c r="J116" s="293"/>
      <c r="K116" s="293"/>
      <c r="L116" s="293"/>
      <c r="M116" s="293"/>
      <c r="N116" s="276">
        <f t="shared" si="3"/>
        <v>0</v>
      </c>
    </row>
    <row r="117" ht="15.75" customHeight="1">
      <c r="A117" s="294"/>
      <c r="B117" s="294"/>
      <c r="C117" s="294"/>
      <c r="D117" s="294"/>
      <c r="E117" s="294"/>
      <c r="F117" s="294"/>
      <c r="H117" s="294"/>
      <c r="I117" s="293"/>
      <c r="J117" s="293"/>
      <c r="K117" s="293"/>
      <c r="L117" s="293"/>
      <c r="M117" s="293"/>
      <c r="N117" s="276">
        <f t="shared" si="3"/>
        <v>0</v>
      </c>
    </row>
    <row r="118" ht="15.75" customHeight="1">
      <c r="A118" s="294"/>
      <c r="B118" s="294"/>
      <c r="C118" s="294"/>
      <c r="D118" s="294"/>
      <c r="E118" s="294"/>
      <c r="F118" s="294"/>
      <c r="H118" s="294"/>
      <c r="I118" s="293"/>
      <c r="J118" s="293"/>
      <c r="K118" s="293"/>
      <c r="L118" s="293"/>
      <c r="M118" s="293"/>
      <c r="N118" s="276">
        <f t="shared" si="3"/>
        <v>0</v>
      </c>
    </row>
    <row r="119" ht="15.75" customHeight="1">
      <c r="A119" s="294"/>
      <c r="B119" s="294"/>
      <c r="C119" s="294"/>
      <c r="D119" s="294"/>
      <c r="E119" s="294"/>
      <c r="F119" s="294"/>
      <c r="H119" s="294"/>
      <c r="I119" s="293"/>
      <c r="J119" s="293"/>
      <c r="K119" s="293"/>
      <c r="L119" s="293"/>
      <c r="M119" s="293"/>
      <c r="N119" s="276">
        <f t="shared" si="3"/>
        <v>0</v>
      </c>
    </row>
    <row r="120" ht="15.75" customHeight="1">
      <c r="A120" s="294"/>
      <c r="B120" s="294"/>
      <c r="C120" s="294"/>
      <c r="D120" s="294"/>
      <c r="E120" s="294"/>
      <c r="F120" s="294"/>
      <c r="H120" s="294"/>
      <c r="I120" s="293"/>
      <c r="J120" s="293"/>
      <c r="K120" s="293"/>
      <c r="L120" s="293"/>
      <c r="M120" s="293"/>
      <c r="N120" s="276">
        <f t="shared" si="3"/>
        <v>0</v>
      </c>
    </row>
    <row r="121" ht="15.75" customHeight="1">
      <c r="A121" s="294"/>
      <c r="B121" s="294"/>
      <c r="C121" s="294"/>
      <c r="D121" s="294"/>
      <c r="E121" s="294"/>
      <c r="F121" s="294"/>
      <c r="H121" s="294"/>
      <c r="I121" s="293"/>
      <c r="J121" s="293"/>
      <c r="K121" s="293"/>
      <c r="L121" s="293"/>
      <c r="M121" s="293"/>
      <c r="N121" s="276">
        <f t="shared" si="3"/>
        <v>0</v>
      </c>
    </row>
    <row r="122" ht="15.75" customHeight="1">
      <c r="A122" s="294"/>
      <c r="B122" s="294"/>
      <c r="C122" s="294"/>
      <c r="D122" s="294"/>
      <c r="E122" s="294"/>
      <c r="F122" s="294"/>
      <c r="H122" s="294"/>
      <c r="I122" s="293"/>
      <c r="J122" s="293"/>
      <c r="K122" s="293"/>
      <c r="L122" s="293"/>
      <c r="M122" s="293"/>
      <c r="N122" s="276">
        <f t="shared" si="3"/>
        <v>0</v>
      </c>
    </row>
    <row r="123" ht="15.75" customHeight="1">
      <c r="A123" s="294"/>
      <c r="B123" s="294"/>
      <c r="C123" s="294"/>
      <c r="D123" s="294"/>
      <c r="E123" s="294"/>
      <c r="F123" s="294"/>
      <c r="H123" s="294"/>
      <c r="I123" s="293"/>
      <c r="J123" s="293"/>
      <c r="K123" s="293"/>
      <c r="L123" s="293"/>
      <c r="M123" s="293"/>
      <c r="N123" s="276">
        <f t="shared" si="3"/>
        <v>0</v>
      </c>
    </row>
    <row r="124" ht="15.75" customHeight="1">
      <c r="A124" s="294"/>
      <c r="B124" s="294"/>
      <c r="C124" s="294"/>
      <c r="D124" s="294"/>
      <c r="E124" s="294"/>
      <c r="F124" s="294"/>
      <c r="H124" s="294"/>
      <c r="I124" s="293"/>
      <c r="J124" s="293"/>
      <c r="K124" s="293"/>
      <c r="L124" s="293"/>
      <c r="M124" s="293"/>
      <c r="N124" s="276">
        <f t="shared" si="3"/>
        <v>0</v>
      </c>
    </row>
    <row r="125" ht="15.75" customHeight="1">
      <c r="A125" s="294"/>
      <c r="B125" s="294"/>
      <c r="C125" s="294"/>
      <c r="D125" s="294"/>
      <c r="E125" s="294"/>
      <c r="F125" s="294"/>
      <c r="H125" s="294"/>
      <c r="I125" s="293"/>
      <c r="J125" s="293"/>
      <c r="K125" s="293"/>
      <c r="L125" s="293"/>
      <c r="M125" s="293"/>
      <c r="N125" s="276">
        <f t="shared" si="3"/>
        <v>0</v>
      </c>
    </row>
    <row r="126" ht="15.75" customHeight="1">
      <c r="A126" s="294"/>
      <c r="B126" s="294"/>
      <c r="C126" s="294"/>
      <c r="D126" s="294"/>
      <c r="E126" s="294"/>
      <c r="F126" s="294"/>
      <c r="H126" s="294"/>
      <c r="I126" s="293"/>
      <c r="J126" s="293"/>
      <c r="K126" s="293"/>
      <c r="L126" s="293"/>
      <c r="M126" s="293"/>
      <c r="N126" s="276">
        <f t="shared" si="3"/>
        <v>0</v>
      </c>
    </row>
    <row r="127" ht="15.75" customHeight="1">
      <c r="A127" s="294"/>
      <c r="B127" s="294"/>
      <c r="C127" s="294"/>
      <c r="D127" s="294"/>
      <c r="E127" s="294"/>
      <c r="F127" s="294"/>
      <c r="H127" s="294"/>
      <c r="I127" s="293"/>
      <c r="J127" s="293"/>
      <c r="K127" s="293"/>
      <c r="L127" s="293"/>
      <c r="M127" s="293"/>
      <c r="N127" s="276">
        <f t="shared" si="3"/>
        <v>0</v>
      </c>
    </row>
    <row r="128" ht="15.75" customHeight="1">
      <c r="A128" s="294"/>
      <c r="B128" s="294"/>
      <c r="C128" s="294"/>
      <c r="D128" s="294"/>
      <c r="E128" s="294"/>
      <c r="F128" s="294"/>
      <c r="H128" s="294"/>
      <c r="I128" s="293"/>
      <c r="J128" s="293"/>
      <c r="K128" s="293"/>
      <c r="L128" s="293"/>
      <c r="M128" s="293"/>
      <c r="N128" s="276">
        <f t="shared" si="3"/>
        <v>0</v>
      </c>
    </row>
    <row r="129" ht="15.75" customHeight="1">
      <c r="A129" s="294"/>
      <c r="B129" s="294"/>
      <c r="C129" s="294"/>
      <c r="D129" s="294"/>
      <c r="E129" s="294"/>
      <c r="F129" s="294"/>
      <c r="H129" s="294"/>
      <c r="I129" s="293"/>
      <c r="J129" s="293"/>
      <c r="K129" s="293"/>
      <c r="L129" s="293"/>
      <c r="M129" s="293"/>
      <c r="N129" s="276">
        <f t="shared" si="3"/>
        <v>0</v>
      </c>
    </row>
    <row r="130" ht="15.75" customHeight="1">
      <c r="A130" s="294"/>
      <c r="B130" s="294"/>
      <c r="C130" s="294"/>
      <c r="D130" s="294"/>
      <c r="E130" s="294"/>
      <c r="F130" s="294"/>
      <c r="H130" s="294"/>
      <c r="I130" s="293"/>
      <c r="J130" s="293"/>
      <c r="K130" s="293"/>
      <c r="L130" s="293"/>
      <c r="M130" s="293"/>
      <c r="N130" s="276">
        <f t="shared" si="3"/>
        <v>0</v>
      </c>
    </row>
    <row r="131" ht="15.75" customHeight="1">
      <c r="A131" s="294"/>
      <c r="B131" s="294"/>
      <c r="C131" s="294"/>
      <c r="D131" s="294"/>
      <c r="E131" s="294"/>
      <c r="F131" s="294"/>
      <c r="H131" s="294"/>
      <c r="I131" s="293"/>
      <c r="J131" s="293"/>
      <c r="K131" s="293"/>
      <c r="L131" s="293"/>
      <c r="M131" s="293"/>
      <c r="N131" s="276">
        <f t="shared" si="3"/>
        <v>0</v>
      </c>
    </row>
    <row r="132" ht="15.75" customHeight="1">
      <c r="A132" s="294"/>
      <c r="B132" s="294"/>
      <c r="C132" s="294"/>
      <c r="D132" s="294"/>
      <c r="E132" s="294"/>
      <c r="F132" s="294"/>
      <c r="H132" s="294"/>
      <c r="I132" s="293"/>
      <c r="J132" s="293"/>
      <c r="K132" s="293"/>
      <c r="L132" s="293"/>
      <c r="M132" s="293"/>
      <c r="N132" s="276">
        <f t="shared" si="3"/>
        <v>0</v>
      </c>
    </row>
    <row r="133" ht="15.75" customHeight="1">
      <c r="A133" s="294"/>
      <c r="B133" s="294"/>
      <c r="C133" s="294"/>
      <c r="D133" s="294"/>
      <c r="E133" s="294"/>
      <c r="F133" s="294"/>
      <c r="H133" s="294"/>
      <c r="I133" s="293"/>
      <c r="J133" s="293"/>
      <c r="K133" s="293"/>
      <c r="L133" s="293"/>
      <c r="M133" s="293"/>
      <c r="N133" s="276">
        <f t="shared" si="3"/>
        <v>0</v>
      </c>
    </row>
    <row r="134" ht="15.75" customHeight="1">
      <c r="A134" s="294"/>
      <c r="B134" s="294"/>
      <c r="C134" s="294"/>
      <c r="D134" s="294"/>
      <c r="E134" s="294"/>
      <c r="F134" s="294"/>
      <c r="H134" s="294"/>
      <c r="I134" s="293"/>
      <c r="J134" s="293"/>
      <c r="K134" s="293"/>
      <c r="L134" s="293"/>
      <c r="M134" s="293"/>
      <c r="N134" s="276">
        <f t="shared" si="3"/>
        <v>0</v>
      </c>
    </row>
    <row r="135" ht="15.75" customHeight="1">
      <c r="A135" s="294"/>
      <c r="B135" s="294"/>
      <c r="C135" s="294"/>
      <c r="D135" s="294"/>
      <c r="E135" s="294"/>
      <c r="F135" s="294"/>
      <c r="H135" s="294"/>
      <c r="I135" s="293"/>
      <c r="J135" s="293"/>
      <c r="K135" s="293"/>
      <c r="L135" s="293"/>
      <c r="M135" s="293"/>
      <c r="N135" s="276">
        <v>0.0</v>
      </c>
    </row>
    <row r="136" ht="15.75" customHeight="1">
      <c r="A136" s="294"/>
      <c r="B136" s="294"/>
      <c r="C136" s="294"/>
      <c r="D136" s="294"/>
      <c r="E136" s="294"/>
      <c r="F136" s="294"/>
      <c r="H136" s="294"/>
      <c r="I136" s="293"/>
      <c r="J136" s="293"/>
      <c r="K136" s="293"/>
      <c r="L136" s="293"/>
      <c r="M136" s="293"/>
      <c r="N136" s="276">
        <f>SUM(I136:M136)</f>
        <v>0</v>
      </c>
    </row>
    <row r="137" ht="15.75" customHeight="1">
      <c r="A137" s="294"/>
      <c r="B137" s="294"/>
      <c r="C137" s="294"/>
      <c r="D137" s="294"/>
      <c r="E137" s="294"/>
      <c r="F137" s="294"/>
      <c r="H137" s="294"/>
      <c r="I137" s="293"/>
      <c r="J137" s="293"/>
      <c r="K137" s="293"/>
      <c r="L137" s="293"/>
      <c r="M137" s="293"/>
      <c r="N137" s="276">
        <v>0.0</v>
      </c>
    </row>
    <row r="138" ht="15.75" customHeight="1">
      <c r="A138" s="294"/>
      <c r="B138" s="294"/>
      <c r="C138" s="294"/>
      <c r="D138" s="294"/>
      <c r="E138" s="294"/>
      <c r="F138" s="294"/>
      <c r="H138" s="294"/>
      <c r="I138" s="293"/>
      <c r="J138" s="293"/>
      <c r="K138" s="293"/>
      <c r="L138" s="293"/>
      <c r="M138" s="293"/>
      <c r="N138" s="276">
        <f>SUM(I138:M138)</f>
        <v>0</v>
      </c>
    </row>
    <row r="139" ht="15.75" customHeight="1">
      <c r="A139" s="294"/>
      <c r="B139" s="294"/>
      <c r="C139" s="294"/>
      <c r="D139" s="294"/>
      <c r="E139" s="294"/>
      <c r="F139" s="294"/>
      <c r="H139" s="294"/>
      <c r="I139" s="293"/>
      <c r="J139" s="293"/>
      <c r="K139" s="293"/>
      <c r="L139" s="293"/>
      <c r="M139" s="293"/>
      <c r="N139" s="276">
        <v>0.0</v>
      </c>
    </row>
    <row r="140" ht="15.75" customHeight="1">
      <c r="A140" s="294"/>
      <c r="B140" s="294"/>
      <c r="C140" s="294"/>
      <c r="D140" s="294"/>
      <c r="E140" s="294"/>
      <c r="F140" s="294"/>
      <c r="H140" s="294"/>
      <c r="I140" s="293"/>
      <c r="J140" s="293"/>
      <c r="K140" s="293"/>
      <c r="L140" s="293"/>
      <c r="M140" s="293"/>
      <c r="N140" s="276">
        <f t="shared" ref="N140:N142" si="4">SUM(I140:M140)</f>
        <v>0</v>
      </c>
    </row>
    <row r="141" ht="15.75" customHeight="1">
      <c r="A141" s="294"/>
      <c r="B141" s="294"/>
      <c r="C141" s="294"/>
      <c r="D141" s="294"/>
      <c r="E141" s="294"/>
      <c r="F141" s="294"/>
      <c r="H141" s="294"/>
      <c r="I141" s="294"/>
      <c r="J141" s="294"/>
      <c r="K141" s="294"/>
      <c r="L141" s="294"/>
      <c r="M141" s="294"/>
      <c r="N141" s="276">
        <f t="shared" si="4"/>
        <v>0</v>
      </c>
    </row>
    <row r="142" ht="15.75" customHeight="1">
      <c r="A142" s="294"/>
      <c r="B142" s="294"/>
      <c r="C142" s="294"/>
      <c r="D142" s="294"/>
      <c r="E142" s="294"/>
      <c r="F142" s="294"/>
      <c r="H142" s="294"/>
      <c r="I142" s="294"/>
      <c r="J142" s="294"/>
      <c r="K142" s="294"/>
      <c r="L142" s="294"/>
      <c r="M142" s="294"/>
      <c r="N142" s="276">
        <f t="shared" si="4"/>
        <v>0</v>
      </c>
    </row>
    <row r="143" ht="15.75" customHeight="1">
      <c r="A143" s="294"/>
      <c r="B143" s="294"/>
      <c r="C143" s="294"/>
      <c r="D143" s="294"/>
      <c r="E143" s="294"/>
      <c r="F143" s="294"/>
      <c r="H143" s="281" t="s">
        <v>21</v>
      </c>
      <c r="I143" s="106"/>
      <c r="J143" s="106"/>
      <c r="K143" s="106"/>
      <c r="L143" s="106"/>
      <c r="M143" s="106"/>
      <c r="N143" s="107"/>
    </row>
    <row r="144" ht="15.75" customHeight="1">
      <c r="A144" s="294"/>
      <c r="B144" s="294"/>
      <c r="C144" s="294"/>
      <c r="D144" s="294"/>
      <c r="E144" s="294"/>
      <c r="F144" s="294"/>
      <c r="H144" s="276"/>
      <c r="I144" s="276"/>
      <c r="J144" s="276"/>
      <c r="K144" s="276"/>
      <c r="L144" s="276"/>
      <c r="M144" s="281">
        <f>SUM(N114:N142)</f>
        <v>0</v>
      </c>
      <c r="N144" s="107"/>
    </row>
    <row r="145" ht="15.75" customHeight="1">
      <c r="A145" s="294"/>
      <c r="B145" s="294"/>
      <c r="C145" s="294"/>
      <c r="D145" s="294"/>
      <c r="E145" s="294"/>
      <c r="F145" s="294"/>
    </row>
    <row r="146" ht="15.75" customHeight="1">
      <c r="A146" s="294"/>
      <c r="B146" s="294"/>
      <c r="C146" s="294"/>
      <c r="D146" s="294"/>
      <c r="E146" s="294"/>
      <c r="F146" s="294"/>
      <c r="H146" s="282" t="s">
        <v>22</v>
      </c>
      <c r="I146" s="64"/>
      <c r="J146" s="64"/>
      <c r="K146" s="64"/>
      <c r="L146" s="64"/>
      <c r="M146" s="64"/>
      <c r="N146" s="64"/>
    </row>
    <row r="147" ht="15.75" customHeight="1">
      <c r="A147" s="294"/>
      <c r="B147" s="294"/>
      <c r="C147" s="294"/>
      <c r="D147" s="294"/>
      <c r="E147" s="294"/>
      <c r="F147" s="294"/>
    </row>
    <row r="148" ht="15.75" customHeight="1">
      <c r="A148" s="294"/>
      <c r="B148" s="294"/>
      <c r="C148" s="294"/>
      <c r="D148" s="294"/>
      <c r="E148" s="294"/>
      <c r="F148" s="294"/>
    </row>
    <row r="149" ht="15.75" customHeight="1">
      <c r="A149" s="294"/>
      <c r="B149" s="294"/>
      <c r="C149" s="294"/>
      <c r="D149" s="294"/>
      <c r="E149" s="294"/>
      <c r="F149" s="294"/>
    </row>
    <row r="150" ht="15.75" customHeight="1">
      <c r="A150" s="294"/>
      <c r="B150" s="294"/>
      <c r="C150" s="294"/>
      <c r="D150" s="294"/>
      <c r="E150" s="294"/>
      <c r="F150" s="294"/>
    </row>
    <row r="151" ht="15.75" customHeight="1">
      <c r="A151" s="294"/>
      <c r="B151" s="294"/>
      <c r="C151" s="294"/>
      <c r="D151" s="294"/>
      <c r="E151" s="294"/>
      <c r="F151" s="294"/>
    </row>
    <row r="152" ht="15.75" customHeight="1">
      <c r="A152" s="294"/>
      <c r="B152" s="294"/>
      <c r="C152" s="294"/>
      <c r="D152" s="294"/>
      <c r="E152" s="294"/>
      <c r="F152" s="294"/>
    </row>
    <row r="153" ht="15.75" customHeight="1">
      <c r="A153" s="294"/>
      <c r="B153" s="294"/>
      <c r="C153" s="294"/>
      <c r="D153" s="294"/>
      <c r="E153" s="294"/>
      <c r="F153" s="294"/>
    </row>
    <row r="154" ht="15.75" customHeight="1">
      <c r="A154" s="294"/>
      <c r="B154" s="294"/>
      <c r="C154" s="294"/>
      <c r="D154" s="294"/>
      <c r="E154" s="294"/>
      <c r="F154" s="294"/>
    </row>
    <row r="155" ht="15.75" customHeight="1">
      <c r="A155" s="294"/>
      <c r="B155" s="294"/>
      <c r="C155" s="294"/>
      <c r="D155" s="294"/>
      <c r="E155" s="294"/>
      <c r="F155" s="294"/>
      <c r="H155" s="283" t="s">
        <v>1</v>
      </c>
      <c r="I155" s="12"/>
      <c r="J155" s="12"/>
      <c r="K155" s="12"/>
      <c r="L155" s="12"/>
      <c r="M155" s="12"/>
      <c r="N155" s="13"/>
    </row>
    <row r="156" ht="15.75" customHeight="1">
      <c r="A156" s="294"/>
      <c r="B156" s="294"/>
      <c r="C156" s="294"/>
      <c r="D156" s="294"/>
      <c r="E156" s="294"/>
      <c r="F156" s="294"/>
      <c r="H156" s="63"/>
      <c r="I156" s="64"/>
      <c r="J156" s="64"/>
      <c r="K156" s="64"/>
      <c r="L156" s="64"/>
      <c r="M156" s="64"/>
      <c r="N156" s="65"/>
    </row>
    <row r="157" ht="15.75" customHeight="1">
      <c r="A157" s="294"/>
      <c r="B157" s="294"/>
      <c r="C157" s="294"/>
      <c r="D157" s="294"/>
      <c r="E157" s="294"/>
      <c r="F157" s="294"/>
    </row>
    <row r="158" ht="15.75" customHeight="1">
      <c r="A158" s="294"/>
      <c r="B158" s="294"/>
      <c r="C158" s="294"/>
      <c r="D158" s="294"/>
      <c r="E158" s="294"/>
      <c r="F158" s="294"/>
      <c r="H158" s="284" t="s">
        <v>3</v>
      </c>
      <c r="I158" s="222" t="s">
        <v>9</v>
      </c>
      <c r="J158" s="5"/>
      <c r="K158" s="6"/>
      <c r="L158" s="222" t="s">
        <v>10</v>
      </c>
      <c r="M158" s="5"/>
      <c r="N158" s="6"/>
    </row>
    <row r="159" ht="15.75" customHeight="1">
      <c r="A159" s="294"/>
      <c r="B159" s="294"/>
      <c r="C159" s="294"/>
      <c r="D159" s="294"/>
      <c r="E159" s="294"/>
      <c r="F159" s="294"/>
      <c r="H159" s="285">
        <f>SUM(B165,M144)</f>
        <v>0</v>
      </c>
      <c r="I159" s="286">
        <f>COUNT(F114:F163,I114:M142)</f>
        <v>0</v>
      </c>
      <c r="J159" s="12"/>
      <c r="K159" s="13"/>
      <c r="L159" s="286">
        <f>SUM(F114:F163)+COUNT(I114:M142)</f>
        <v>0</v>
      </c>
      <c r="M159" s="12"/>
      <c r="N159" s="13"/>
    </row>
    <row r="160" ht="15.75" customHeight="1">
      <c r="A160" s="294"/>
      <c r="B160" s="294"/>
      <c r="C160" s="294"/>
      <c r="D160" s="294"/>
      <c r="E160" s="294"/>
      <c r="F160" s="294"/>
      <c r="H160" s="69"/>
      <c r="I160" s="63"/>
      <c r="J160" s="64"/>
      <c r="K160" s="65"/>
      <c r="L160" s="63"/>
      <c r="M160" s="64"/>
      <c r="N160" s="65"/>
    </row>
    <row r="161" ht="15.75" customHeight="1">
      <c r="A161" s="294"/>
      <c r="B161" s="294"/>
      <c r="C161" s="294"/>
      <c r="D161" s="294"/>
      <c r="E161" s="294"/>
      <c r="F161" s="294"/>
    </row>
    <row r="162" ht="15.75" customHeight="1">
      <c r="A162" s="294"/>
      <c r="B162" s="294"/>
      <c r="C162" s="294"/>
      <c r="D162" s="294"/>
      <c r="E162" s="294"/>
      <c r="F162" s="294"/>
    </row>
    <row r="163" ht="15.75" customHeight="1">
      <c r="A163" s="296"/>
      <c r="B163" s="296"/>
      <c r="C163" s="296"/>
      <c r="D163" s="296"/>
      <c r="E163" s="296"/>
      <c r="F163" s="296"/>
    </row>
    <row r="164" ht="15.75" customHeight="1">
      <c r="A164" s="287" t="s">
        <v>1</v>
      </c>
      <c r="B164" s="5"/>
      <c r="C164" s="5"/>
      <c r="D164" s="5"/>
      <c r="E164" s="5"/>
      <c r="F164" s="5"/>
    </row>
    <row r="165" ht="15.75" customHeight="1">
      <c r="A165" s="222"/>
      <c r="B165" s="288">
        <f>SUM(B114:B163)</f>
        <v>0</v>
      </c>
      <c r="C165" s="289" t="s">
        <v>11</v>
      </c>
      <c r="D165" s="289"/>
      <c r="E165" s="289"/>
      <c r="F165" s="288">
        <f>SUM(F114:F163)</f>
        <v>0</v>
      </c>
    </row>
    <row r="166" ht="15.75" customHeight="1">
      <c r="A166" s="119" t="s">
        <v>50</v>
      </c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H49:H50"/>
    <mergeCell ref="I49:K50"/>
    <mergeCell ref="L49:N50"/>
    <mergeCell ref="A54:F54"/>
    <mergeCell ref="J57:N57"/>
    <mergeCell ref="J2:N2"/>
    <mergeCell ref="H33:N33"/>
    <mergeCell ref="M34:N34"/>
    <mergeCell ref="H36:N36"/>
    <mergeCell ref="H45:N46"/>
    <mergeCell ref="I48:K48"/>
    <mergeCell ref="L48:N48"/>
    <mergeCell ref="I104:K105"/>
    <mergeCell ref="L104:N105"/>
    <mergeCell ref="A109:F109"/>
    <mergeCell ref="J112:N112"/>
    <mergeCell ref="H88:N88"/>
    <mergeCell ref="M89:N89"/>
    <mergeCell ref="H91:N91"/>
    <mergeCell ref="H100:N101"/>
    <mergeCell ref="I103:K103"/>
    <mergeCell ref="L103:N103"/>
    <mergeCell ref="H104:H105"/>
    <mergeCell ref="I159:K160"/>
    <mergeCell ref="L159:N160"/>
    <mergeCell ref="A164:F164"/>
    <mergeCell ref="H143:N143"/>
    <mergeCell ref="M144:N144"/>
    <mergeCell ref="H146:N146"/>
    <mergeCell ref="H155:N156"/>
    <mergeCell ref="I158:K158"/>
    <mergeCell ref="L158:N158"/>
    <mergeCell ref="H159:H160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0.86"/>
    <col customWidth="1" min="3" max="5" width="8.71"/>
    <col customWidth="1" min="6" max="6" width="6.71"/>
    <col customWidth="1" min="7" max="7" width="5.71"/>
    <col customWidth="1" min="8" max="8" width="13.71"/>
    <col customWidth="1" min="9" max="10" width="7.29"/>
    <col customWidth="1" min="11" max="13" width="5.71"/>
    <col customWidth="1" min="14" max="14" width="4.71"/>
    <col customWidth="1" min="15" max="18" width="8.71"/>
    <col customWidth="1" min="19" max="19" width="10.57"/>
    <col customWidth="1" min="20" max="25" width="8.71"/>
    <col customWidth="1" min="26" max="30" width="5.71"/>
    <col customWidth="1" min="31" max="37" width="8.71"/>
  </cols>
  <sheetData>
    <row r="3">
      <c r="A3" s="71" t="s">
        <v>51</v>
      </c>
      <c r="B3" s="266"/>
      <c r="C3" s="266"/>
      <c r="D3" s="267"/>
      <c r="E3" s="267"/>
      <c r="F3" s="267"/>
      <c r="G3" s="266"/>
      <c r="H3" s="266"/>
      <c r="I3" s="266"/>
      <c r="J3" s="120">
        <f>TODAY()</f>
        <v>46173</v>
      </c>
      <c r="K3" s="5"/>
      <c r="L3" s="5"/>
      <c r="M3" s="5"/>
      <c r="N3" s="6"/>
      <c r="R3" s="71" t="s">
        <v>51</v>
      </c>
      <c r="S3" s="266"/>
      <c r="T3" s="266"/>
      <c r="U3" s="267"/>
      <c r="V3" s="267"/>
      <c r="W3" s="267"/>
      <c r="X3" s="266"/>
      <c r="Y3" s="266"/>
      <c r="Z3" s="266"/>
      <c r="AA3" s="120">
        <f>TODAY()</f>
        <v>46173</v>
      </c>
      <c r="AB3" s="5"/>
      <c r="AC3" s="5"/>
      <c r="AD3" s="5"/>
      <c r="AE3" s="6"/>
    </row>
    <row r="4">
      <c r="A4" s="269" t="s">
        <v>2</v>
      </c>
      <c r="B4" s="270" t="s">
        <v>3</v>
      </c>
      <c r="C4" s="270" t="s">
        <v>4</v>
      </c>
      <c r="D4" s="270" t="s">
        <v>5</v>
      </c>
      <c r="E4" s="270" t="s">
        <v>6</v>
      </c>
      <c r="F4" s="271" t="s">
        <v>7</v>
      </c>
      <c r="G4" s="272"/>
      <c r="H4" s="273" t="s">
        <v>2</v>
      </c>
      <c r="I4" s="274"/>
      <c r="J4" s="274"/>
      <c r="K4" s="274"/>
      <c r="L4" s="274"/>
      <c r="M4" s="274"/>
      <c r="N4" s="275" t="s">
        <v>3</v>
      </c>
      <c r="R4" s="269" t="s">
        <v>2</v>
      </c>
      <c r="S4" s="270" t="s">
        <v>3</v>
      </c>
      <c r="T4" s="270" t="s">
        <v>4</v>
      </c>
      <c r="U4" s="270" t="s">
        <v>5</v>
      </c>
      <c r="V4" s="270" t="s">
        <v>6</v>
      </c>
      <c r="W4" s="271" t="s">
        <v>7</v>
      </c>
      <c r="X4" s="272"/>
      <c r="Y4" s="273" t="s">
        <v>2</v>
      </c>
      <c r="Z4" s="274"/>
      <c r="AA4" s="274"/>
      <c r="AB4" s="274"/>
      <c r="AC4" s="274"/>
      <c r="AD4" s="274"/>
      <c r="AE4" s="275" t="s">
        <v>3</v>
      </c>
    </row>
    <row r="5">
      <c r="A5" s="32"/>
      <c r="B5" s="32"/>
      <c r="C5" s="32"/>
      <c r="D5" s="32"/>
      <c r="E5" s="32"/>
      <c r="F5" s="32"/>
      <c r="H5" s="123"/>
      <c r="I5" s="122"/>
      <c r="J5" s="122"/>
      <c r="K5" s="31"/>
      <c r="L5" s="122"/>
      <c r="M5" s="122"/>
      <c r="N5" s="277">
        <f t="shared" ref="N5:N33" si="1">SUM(I5:M5)</f>
        <v>0</v>
      </c>
      <c r="R5" s="31"/>
      <c r="S5" s="31"/>
      <c r="T5" s="32"/>
      <c r="U5" s="32"/>
      <c r="V5" s="32"/>
      <c r="W5" s="32"/>
      <c r="X5" s="124"/>
      <c r="Y5" s="123"/>
      <c r="Z5" s="122"/>
      <c r="AA5" s="122"/>
      <c r="AB5" s="31"/>
      <c r="AC5" s="31"/>
      <c r="AD5" s="31"/>
      <c r="AE5" s="277">
        <f t="shared" ref="AE5:AE33" si="2">SUM(Z5:AD5)</f>
        <v>0</v>
      </c>
      <c r="AI5" s="11" t="s">
        <v>1</v>
      </c>
      <c r="AJ5" s="12"/>
      <c r="AK5" s="13"/>
    </row>
    <row r="6">
      <c r="A6" s="32"/>
      <c r="B6" s="32"/>
      <c r="C6" s="32"/>
      <c r="D6" s="32"/>
      <c r="E6" s="32"/>
      <c r="F6" s="32"/>
      <c r="H6" s="123"/>
      <c r="I6" s="122"/>
      <c r="J6" s="122"/>
      <c r="K6" s="122"/>
      <c r="L6" s="122"/>
      <c r="M6" s="122"/>
      <c r="N6" s="276">
        <f t="shared" si="1"/>
        <v>0</v>
      </c>
      <c r="R6" s="32"/>
      <c r="S6" s="32"/>
      <c r="T6" s="32"/>
      <c r="U6" s="32"/>
      <c r="V6" s="32"/>
      <c r="W6" s="32"/>
      <c r="X6" s="124"/>
      <c r="Y6" s="123"/>
      <c r="Z6" s="122"/>
      <c r="AA6" s="122"/>
      <c r="AB6" s="31"/>
      <c r="AC6" s="31"/>
      <c r="AD6" s="31"/>
      <c r="AE6" s="276">
        <f t="shared" si="2"/>
        <v>0</v>
      </c>
      <c r="AI6" s="28"/>
      <c r="AK6" s="29"/>
    </row>
    <row r="7">
      <c r="A7" s="32"/>
      <c r="B7" s="32"/>
      <c r="C7" s="32"/>
      <c r="D7" s="32"/>
      <c r="E7" s="32"/>
      <c r="F7" s="32"/>
      <c r="H7" s="123"/>
      <c r="I7" s="122"/>
      <c r="J7" s="122"/>
      <c r="K7" s="122"/>
      <c r="L7" s="122"/>
      <c r="M7" s="122"/>
      <c r="N7" s="276">
        <f t="shared" si="1"/>
        <v>0</v>
      </c>
      <c r="R7" s="32"/>
      <c r="S7" s="32"/>
      <c r="T7" s="32"/>
      <c r="U7" s="32"/>
      <c r="V7" s="32"/>
      <c r="W7" s="32"/>
      <c r="X7" s="124"/>
      <c r="Y7" s="123"/>
      <c r="Z7" s="122"/>
      <c r="AA7" s="122"/>
      <c r="AB7" s="31"/>
      <c r="AC7" s="31"/>
      <c r="AD7" s="31"/>
      <c r="AE7" s="276">
        <f t="shared" si="2"/>
        <v>0</v>
      </c>
      <c r="AI7" s="63"/>
      <c r="AJ7" s="64"/>
      <c r="AK7" s="65"/>
    </row>
    <row r="8">
      <c r="A8" s="32"/>
      <c r="B8" s="32"/>
      <c r="C8" s="32"/>
      <c r="D8" s="32"/>
      <c r="E8" s="32"/>
      <c r="F8" s="32"/>
      <c r="H8" s="123"/>
      <c r="I8" s="122"/>
      <c r="J8" s="122"/>
      <c r="K8" s="122"/>
      <c r="L8" s="122"/>
      <c r="M8" s="122"/>
      <c r="N8" s="276">
        <f t="shared" si="1"/>
        <v>0</v>
      </c>
      <c r="R8" s="32"/>
      <c r="S8" s="32"/>
      <c r="T8" s="32"/>
      <c r="U8" s="32"/>
      <c r="V8" s="32"/>
      <c r="W8" s="32"/>
      <c r="X8" s="124"/>
      <c r="Y8" s="123"/>
      <c r="Z8" s="122"/>
      <c r="AA8" s="122"/>
      <c r="AB8" s="31"/>
      <c r="AC8" s="31"/>
      <c r="AD8" s="31"/>
      <c r="AE8" s="276">
        <f t="shared" si="2"/>
        <v>0</v>
      </c>
      <c r="AI8" s="11">
        <f>SUM(I50,Z50)</f>
        <v>0</v>
      </c>
      <c r="AJ8" s="13"/>
      <c r="AK8" s="126" t="s">
        <v>15</v>
      </c>
    </row>
    <row r="9">
      <c r="A9" s="32"/>
      <c r="B9" s="32"/>
      <c r="C9" s="32"/>
      <c r="D9" s="32"/>
      <c r="E9" s="32"/>
      <c r="F9" s="32"/>
      <c r="H9" s="123"/>
      <c r="I9" s="122"/>
      <c r="J9" s="122"/>
      <c r="K9" s="122"/>
      <c r="L9" s="122"/>
      <c r="M9" s="122"/>
      <c r="N9" s="276">
        <f t="shared" si="1"/>
        <v>0</v>
      </c>
      <c r="R9" s="32"/>
      <c r="S9" s="32"/>
      <c r="T9" s="32"/>
      <c r="U9" s="32"/>
      <c r="V9" s="32"/>
      <c r="W9" s="32"/>
      <c r="X9" s="124"/>
      <c r="Y9" s="123"/>
      <c r="Z9" s="122"/>
      <c r="AA9" s="122"/>
      <c r="AB9" s="31"/>
      <c r="AC9" s="31"/>
      <c r="AD9" s="31"/>
      <c r="AE9" s="276">
        <f t="shared" si="2"/>
        <v>0</v>
      </c>
      <c r="AI9" s="63"/>
      <c r="AJ9" s="65"/>
      <c r="AK9" s="69"/>
    </row>
    <row r="10">
      <c r="A10" s="32"/>
      <c r="B10" s="32"/>
      <c r="C10" s="32"/>
      <c r="D10" s="32"/>
      <c r="E10" s="32"/>
      <c r="F10" s="32"/>
      <c r="H10" s="123"/>
      <c r="I10" s="122"/>
      <c r="J10" s="122"/>
      <c r="K10" s="122"/>
      <c r="L10" s="122"/>
      <c r="M10" s="122"/>
      <c r="N10" s="276">
        <f t="shared" si="1"/>
        <v>0</v>
      </c>
      <c r="R10" s="32"/>
      <c r="S10" s="32"/>
      <c r="T10" s="32"/>
      <c r="U10" s="32"/>
      <c r="V10" s="32"/>
      <c r="W10" s="32"/>
      <c r="X10" s="124"/>
      <c r="Y10" s="123"/>
      <c r="Z10" s="122"/>
      <c r="AA10" s="122"/>
      <c r="AB10" s="31"/>
      <c r="AC10" s="31"/>
      <c r="AD10" s="31"/>
      <c r="AE10" s="276">
        <f t="shared" si="2"/>
        <v>0</v>
      </c>
      <c r="AI10" s="11">
        <f>SUM(AC50,L50)</f>
        <v>0</v>
      </c>
      <c r="AJ10" s="13"/>
      <c r="AK10" s="126" t="s">
        <v>16</v>
      </c>
    </row>
    <row r="11">
      <c r="A11" s="32"/>
      <c r="B11" s="32"/>
      <c r="C11" s="32"/>
      <c r="D11" s="32"/>
      <c r="E11" s="32"/>
      <c r="F11" s="32"/>
      <c r="H11" s="123"/>
      <c r="I11" s="122"/>
      <c r="J11" s="122"/>
      <c r="K11" s="122"/>
      <c r="L11" s="122"/>
      <c r="M11" s="122"/>
      <c r="N11" s="276">
        <f t="shared" si="1"/>
        <v>0</v>
      </c>
      <c r="R11" s="123"/>
      <c r="S11" s="123"/>
      <c r="T11" s="123"/>
      <c r="U11" s="123"/>
      <c r="V11" s="123"/>
      <c r="W11" s="123"/>
      <c r="X11" s="124"/>
      <c r="Y11" s="123"/>
      <c r="Z11" s="122"/>
      <c r="AA11" s="122"/>
      <c r="AB11" s="31"/>
      <c r="AC11" s="31"/>
      <c r="AD11" s="31"/>
      <c r="AE11" s="276">
        <f t="shared" si="2"/>
        <v>0</v>
      </c>
      <c r="AI11" s="63"/>
      <c r="AJ11" s="65"/>
      <c r="AK11" s="69"/>
    </row>
    <row r="12">
      <c r="A12" s="32"/>
      <c r="B12" s="32"/>
      <c r="C12" s="32"/>
      <c r="D12" s="32"/>
      <c r="E12" s="32"/>
      <c r="F12" s="32"/>
      <c r="H12" s="123"/>
      <c r="I12" s="122"/>
      <c r="J12" s="122"/>
      <c r="K12" s="122"/>
      <c r="L12" s="122"/>
      <c r="M12" s="122"/>
      <c r="N12" s="276">
        <f t="shared" si="1"/>
        <v>0</v>
      </c>
      <c r="R12" s="32"/>
      <c r="S12" s="32"/>
      <c r="T12" s="123"/>
      <c r="U12" s="123"/>
      <c r="V12" s="123"/>
      <c r="W12" s="123"/>
      <c r="X12" s="124"/>
      <c r="Y12" s="123"/>
      <c r="Z12" s="122"/>
      <c r="AA12" s="122"/>
      <c r="AB12" s="31"/>
      <c r="AC12" s="31"/>
      <c r="AD12" s="31"/>
      <c r="AE12" s="276">
        <f t="shared" si="2"/>
        <v>0</v>
      </c>
      <c r="AI12" s="11">
        <f>SUM(Y50,H50)</f>
        <v>0</v>
      </c>
      <c r="AJ12" s="12"/>
      <c r="AK12" s="126" t="s">
        <v>3</v>
      </c>
    </row>
    <row r="13">
      <c r="A13" s="32"/>
      <c r="B13" s="32"/>
      <c r="C13" s="32"/>
      <c r="D13" s="32"/>
      <c r="E13" s="32"/>
      <c r="F13" s="32"/>
      <c r="H13" s="123"/>
      <c r="I13" s="122"/>
      <c r="J13" s="122"/>
      <c r="K13" s="122"/>
      <c r="L13" s="122"/>
      <c r="M13" s="122"/>
      <c r="N13" s="276">
        <f t="shared" si="1"/>
        <v>0</v>
      </c>
      <c r="R13" s="123"/>
      <c r="S13" s="123"/>
      <c r="T13" s="123"/>
      <c r="U13" s="123"/>
      <c r="V13" s="123"/>
      <c r="W13" s="123"/>
      <c r="X13" s="124"/>
      <c r="Y13" s="123"/>
      <c r="Z13" s="122"/>
      <c r="AA13" s="122"/>
      <c r="AB13" s="31"/>
      <c r="AC13" s="31"/>
      <c r="AD13" s="31"/>
      <c r="AE13" s="276">
        <f t="shared" si="2"/>
        <v>0</v>
      </c>
      <c r="AI13" s="63"/>
      <c r="AJ13" s="64"/>
      <c r="AK13" s="69"/>
    </row>
    <row r="14">
      <c r="A14" s="32"/>
      <c r="B14" s="32"/>
      <c r="C14" s="32"/>
      <c r="D14" s="32"/>
      <c r="E14" s="32"/>
      <c r="F14" s="32"/>
      <c r="H14" s="123"/>
      <c r="I14" s="122"/>
      <c r="J14" s="122"/>
      <c r="K14" s="122"/>
      <c r="L14" s="122"/>
      <c r="M14" s="122"/>
      <c r="N14" s="276">
        <f t="shared" si="1"/>
        <v>0</v>
      </c>
      <c r="R14" s="122"/>
      <c r="S14" s="122"/>
      <c r="T14" s="123"/>
      <c r="U14" s="123"/>
      <c r="V14" s="123"/>
      <c r="W14" s="123"/>
      <c r="X14" s="124"/>
      <c r="Y14" s="123"/>
      <c r="Z14" s="122"/>
      <c r="AA14" s="122"/>
      <c r="AB14" s="31"/>
      <c r="AC14" s="31"/>
      <c r="AD14" s="31"/>
      <c r="AE14" s="276">
        <f t="shared" si="2"/>
        <v>0</v>
      </c>
      <c r="AI14" s="127">
        <f>AC53+L53</f>
        <v>0</v>
      </c>
      <c r="AJ14" s="12"/>
      <c r="AK14" s="128" t="s">
        <v>17</v>
      </c>
    </row>
    <row r="15">
      <c r="A15" s="32"/>
      <c r="B15" s="32"/>
      <c r="C15" s="32"/>
      <c r="D15" s="32"/>
      <c r="E15" s="32"/>
      <c r="F15" s="32"/>
      <c r="H15" s="123"/>
      <c r="I15" s="122"/>
      <c r="J15" s="122"/>
      <c r="K15" s="122"/>
      <c r="L15" s="122"/>
      <c r="M15" s="122"/>
      <c r="N15" s="276">
        <f t="shared" si="1"/>
        <v>0</v>
      </c>
      <c r="R15" s="123"/>
      <c r="S15" s="123"/>
      <c r="T15" s="123"/>
      <c r="U15" s="123"/>
      <c r="V15" s="123"/>
      <c r="W15" s="123"/>
      <c r="X15" s="124"/>
      <c r="Y15" s="123"/>
      <c r="Z15" s="122"/>
      <c r="AA15" s="122"/>
      <c r="AB15" s="31"/>
      <c r="AC15" s="31"/>
      <c r="AD15" s="31"/>
      <c r="AE15" s="276">
        <f t="shared" si="2"/>
        <v>0</v>
      </c>
      <c r="AI15" s="63"/>
      <c r="AJ15" s="64"/>
      <c r="AK15" s="69"/>
    </row>
    <row r="16">
      <c r="A16" s="32"/>
      <c r="B16" s="32"/>
      <c r="C16" s="32"/>
      <c r="D16" s="32"/>
      <c r="E16" s="32"/>
      <c r="F16" s="32"/>
      <c r="H16" s="123"/>
      <c r="I16" s="122"/>
      <c r="J16" s="122"/>
      <c r="K16" s="122"/>
      <c r="L16" s="122"/>
      <c r="M16" s="122"/>
      <c r="N16" s="276">
        <f t="shared" si="1"/>
        <v>0</v>
      </c>
      <c r="R16" s="122"/>
      <c r="S16" s="122"/>
      <c r="T16" s="123"/>
      <c r="U16" s="123"/>
      <c r="V16" s="123"/>
      <c r="W16" s="123"/>
      <c r="X16" s="124"/>
      <c r="Y16" s="123"/>
      <c r="Z16" s="122"/>
      <c r="AA16" s="122"/>
      <c r="AB16" s="31"/>
      <c r="AC16" s="31"/>
      <c r="AD16" s="31"/>
      <c r="AE16" s="276">
        <f t="shared" si="2"/>
        <v>0</v>
      </c>
    </row>
    <row r="17">
      <c r="A17" s="32"/>
      <c r="B17" s="32"/>
      <c r="C17" s="32"/>
      <c r="D17" s="32"/>
      <c r="E17" s="32"/>
      <c r="F17" s="32"/>
      <c r="H17" s="123"/>
      <c r="I17" s="122"/>
      <c r="J17" s="122"/>
      <c r="K17" s="122"/>
      <c r="L17" s="122"/>
      <c r="M17" s="122"/>
      <c r="N17" s="276">
        <f t="shared" si="1"/>
        <v>0</v>
      </c>
      <c r="R17" s="122"/>
      <c r="S17" s="122"/>
      <c r="T17" s="123"/>
      <c r="U17" s="123"/>
      <c r="V17" s="123"/>
      <c r="W17" s="123"/>
      <c r="Y17" s="32"/>
      <c r="Z17" s="31"/>
      <c r="AA17" s="31"/>
      <c r="AB17" s="31"/>
      <c r="AC17" s="31"/>
      <c r="AD17" s="31"/>
      <c r="AE17" s="276">
        <f t="shared" si="2"/>
        <v>0</v>
      </c>
    </row>
    <row r="18">
      <c r="A18" s="32"/>
      <c r="B18" s="32"/>
      <c r="C18" s="32"/>
      <c r="D18" s="32"/>
      <c r="E18" s="32"/>
      <c r="F18" s="32"/>
      <c r="H18" s="123"/>
      <c r="I18" s="122"/>
      <c r="J18" s="122"/>
      <c r="K18" s="122"/>
      <c r="L18" s="122"/>
      <c r="M18" s="122"/>
      <c r="N18" s="276">
        <f t="shared" si="1"/>
        <v>0</v>
      </c>
      <c r="R18" s="122"/>
      <c r="S18" s="122"/>
      <c r="T18" s="123"/>
      <c r="U18" s="123"/>
      <c r="V18" s="123"/>
      <c r="W18" s="123"/>
      <c r="Y18" s="32"/>
      <c r="Z18" s="31"/>
      <c r="AA18" s="31"/>
      <c r="AB18" s="31"/>
      <c r="AC18" s="31"/>
      <c r="AD18" s="31"/>
      <c r="AE18" s="276">
        <f t="shared" si="2"/>
        <v>0</v>
      </c>
    </row>
    <row r="19">
      <c r="A19" s="32"/>
      <c r="B19" s="32"/>
      <c r="C19" s="32"/>
      <c r="D19" s="32"/>
      <c r="E19" s="32"/>
      <c r="F19" s="32"/>
      <c r="H19" s="32"/>
      <c r="I19" s="31"/>
      <c r="J19" s="31"/>
      <c r="K19" s="31"/>
      <c r="L19" s="31"/>
      <c r="M19" s="31"/>
      <c r="N19" s="276">
        <f t="shared" si="1"/>
        <v>0</v>
      </c>
      <c r="R19" s="32"/>
      <c r="S19" s="32"/>
      <c r="T19" s="32"/>
      <c r="U19" s="32"/>
      <c r="V19" s="32"/>
      <c r="W19" s="32"/>
      <c r="Y19" s="32"/>
      <c r="Z19" s="31"/>
      <c r="AA19" s="31"/>
      <c r="AB19" s="31"/>
      <c r="AC19" s="31"/>
      <c r="AD19" s="31"/>
      <c r="AE19" s="276">
        <f t="shared" si="2"/>
        <v>0</v>
      </c>
    </row>
    <row r="20">
      <c r="A20" s="32"/>
      <c r="B20" s="32"/>
      <c r="C20" s="32"/>
      <c r="D20" s="32"/>
      <c r="E20" s="32"/>
      <c r="F20" s="32"/>
      <c r="H20" s="32"/>
      <c r="I20" s="31"/>
      <c r="J20" s="31"/>
      <c r="K20" s="31"/>
      <c r="L20" s="31"/>
      <c r="M20" s="31"/>
      <c r="N20" s="276">
        <f t="shared" si="1"/>
        <v>0</v>
      </c>
      <c r="R20" s="32"/>
      <c r="S20" s="32"/>
      <c r="T20" s="32"/>
      <c r="U20" s="32"/>
      <c r="V20" s="32"/>
      <c r="W20" s="32"/>
      <c r="Y20" s="32"/>
      <c r="Z20" s="31"/>
      <c r="AA20" s="31"/>
      <c r="AB20" s="31"/>
      <c r="AC20" s="31"/>
      <c r="AD20" s="31"/>
      <c r="AE20" s="276">
        <f t="shared" si="2"/>
        <v>0</v>
      </c>
    </row>
    <row r="21" ht="15.75" customHeight="1">
      <c r="A21" s="32"/>
      <c r="B21" s="32"/>
      <c r="C21" s="32"/>
      <c r="D21" s="32"/>
      <c r="E21" s="32"/>
      <c r="F21" s="32"/>
      <c r="H21" s="32"/>
      <c r="I21" s="31"/>
      <c r="J21" s="31"/>
      <c r="K21" s="31"/>
      <c r="L21" s="31"/>
      <c r="M21" s="31"/>
      <c r="N21" s="276">
        <f t="shared" si="1"/>
        <v>0</v>
      </c>
      <c r="R21" s="32"/>
      <c r="S21" s="32"/>
      <c r="T21" s="32"/>
      <c r="U21" s="32"/>
      <c r="V21" s="32"/>
      <c r="W21" s="32"/>
      <c r="Y21" s="32"/>
      <c r="Z21" s="31"/>
      <c r="AA21" s="31"/>
      <c r="AB21" s="31"/>
      <c r="AC21" s="31"/>
      <c r="AD21" s="31"/>
      <c r="AE21" s="276">
        <f t="shared" si="2"/>
        <v>0</v>
      </c>
    </row>
    <row r="22" ht="15.75" customHeight="1">
      <c r="A22" s="32"/>
      <c r="B22" s="32"/>
      <c r="C22" s="32"/>
      <c r="D22" s="32"/>
      <c r="E22" s="32"/>
      <c r="F22" s="32"/>
      <c r="H22" s="32"/>
      <c r="I22" s="31"/>
      <c r="J22" s="31"/>
      <c r="K22" s="31"/>
      <c r="L22" s="31"/>
      <c r="M22" s="31"/>
      <c r="N22" s="276">
        <f t="shared" si="1"/>
        <v>0</v>
      </c>
      <c r="R22" s="31"/>
      <c r="S22" s="31"/>
      <c r="T22" s="32"/>
      <c r="U22" s="32"/>
      <c r="V22" s="32"/>
      <c r="W22" s="32"/>
      <c r="Y22" s="32"/>
      <c r="Z22" s="31"/>
      <c r="AA22" s="31"/>
      <c r="AB22" s="31"/>
      <c r="AC22" s="31"/>
      <c r="AD22" s="31"/>
      <c r="AE22" s="276">
        <f t="shared" si="2"/>
        <v>0</v>
      </c>
    </row>
    <row r="23" ht="15.75" customHeight="1">
      <c r="A23" s="32"/>
      <c r="B23" s="32"/>
      <c r="C23" s="32"/>
      <c r="D23" s="32"/>
      <c r="E23" s="32"/>
      <c r="F23" s="32"/>
      <c r="H23" s="32"/>
      <c r="I23" s="31"/>
      <c r="J23" s="31"/>
      <c r="K23" s="31"/>
      <c r="L23" s="31"/>
      <c r="M23" s="31"/>
      <c r="N23" s="276">
        <f t="shared" si="1"/>
        <v>0</v>
      </c>
      <c r="R23" s="32"/>
      <c r="S23" s="32"/>
      <c r="T23" s="32"/>
      <c r="U23" s="32"/>
      <c r="V23" s="32"/>
      <c r="W23" s="32"/>
      <c r="Y23" s="32"/>
      <c r="Z23" s="31"/>
      <c r="AA23" s="31"/>
      <c r="AB23" s="31"/>
      <c r="AC23" s="31"/>
      <c r="AD23" s="31"/>
      <c r="AE23" s="276">
        <f t="shared" si="2"/>
        <v>0</v>
      </c>
    </row>
    <row r="24" ht="15.75" customHeight="1">
      <c r="A24" s="32"/>
      <c r="B24" s="32"/>
      <c r="C24" s="32"/>
      <c r="D24" s="32"/>
      <c r="E24" s="32"/>
      <c r="F24" s="32"/>
      <c r="H24" s="32"/>
      <c r="I24" s="31"/>
      <c r="J24" s="31"/>
      <c r="K24" s="31"/>
      <c r="L24" s="31"/>
      <c r="M24" s="31"/>
      <c r="N24" s="276">
        <f t="shared" si="1"/>
        <v>0</v>
      </c>
      <c r="R24" s="31"/>
      <c r="S24" s="31"/>
      <c r="T24" s="32"/>
      <c r="U24" s="32"/>
      <c r="V24" s="32"/>
      <c r="W24" s="32"/>
      <c r="Y24" s="32"/>
      <c r="Z24" s="31"/>
      <c r="AA24" s="31"/>
      <c r="AB24" s="31"/>
      <c r="AC24" s="31"/>
      <c r="AD24" s="31"/>
      <c r="AE24" s="276">
        <f t="shared" si="2"/>
        <v>0</v>
      </c>
    </row>
    <row r="25" ht="15.75" customHeight="1">
      <c r="A25" s="32"/>
      <c r="B25" s="32"/>
      <c r="C25" s="32"/>
      <c r="D25" s="32"/>
      <c r="E25" s="32"/>
      <c r="F25" s="32"/>
      <c r="H25" s="32"/>
      <c r="I25" s="31"/>
      <c r="J25" s="31"/>
      <c r="K25" s="31"/>
      <c r="L25" s="31"/>
      <c r="M25" s="31"/>
      <c r="N25" s="276">
        <f t="shared" si="1"/>
        <v>0</v>
      </c>
      <c r="R25" s="31"/>
      <c r="S25" s="31"/>
      <c r="T25" s="32"/>
      <c r="U25" s="32"/>
      <c r="V25" s="32"/>
      <c r="W25" s="32"/>
      <c r="Y25" s="32"/>
      <c r="Z25" s="31"/>
      <c r="AA25" s="31"/>
      <c r="AB25" s="31"/>
      <c r="AC25" s="31"/>
      <c r="AD25" s="31"/>
      <c r="AE25" s="276">
        <f t="shared" si="2"/>
        <v>0</v>
      </c>
    </row>
    <row r="26" ht="15.75" customHeight="1">
      <c r="A26" s="32"/>
      <c r="B26" s="32"/>
      <c r="C26" s="32"/>
      <c r="D26" s="32"/>
      <c r="E26" s="32"/>
      <c r="F26" s="32"/>
      <c r="H26" s="32"/>
      <c r="I26" s="31"/>
      <c r="J26" s="31"/>
      <c r="K26" s="31"/>
      <c r="L26" s="31"/>
      <c r="M26" s="31"/>
      <c r="N26" s="276">
        <f t="shared" si="1"/>
        <v>0</v>
      </c>
      <c r="R26" s="32"/>
      <c r="S26" s="32"/>
      <c r="T26" s="32"/>
      <c r="U26" s="32"/>
      <c r="V26" s="32"/>
      <c r="W26" s="32"/>
      <c r="Y26" s="32"/>
      <c r="Z26" s="31"/>
      <c r="AA26" s="31"/>
      <c r="AB26" s="31"/>
      <c r="AC26" s="31"/>
      <c r="AD26" s="31"/>
      <c r="AE26" s="276">
        <f t="shared" si="2"/>
        <v>0</v>
      </c>
    </row>
    <row r="27" ht="15.75" customHeight="1">
      <c r="A27" s="32"/>
      <c r="B27" s="32"/>
      <c r="C27" s="32"/>
      <c r="D27" s="32"/>
      <c r="E27" s="32"/>
      <c r="F27" s="32"/>
      <c r="H27" s="32"/>
      <c r="I27" s="31"/>
      <c r="J27" s="31"/>
      <c r="K27" s="31"/>
      <c r="L27" s="31"/>
      <c r="M27" s="31"/>
      <c r="N27" s="276">
        <f t="shared" si="1"/>
        <v>0</v>
      </c>
      <c r="R27" s="32"/>
      <c r="S27" s="32"/>
      <c r="T27" s="32"/>
      <c r="U27" s="32"/>
      <c r="V27" s="32"/>
      <c r="W27" s="32"/>
      <c r="Y27" s="32"/>
      <c r="Z27" s="31"/>
      <c r="AA27" s="31"/>
      <c r="AB27" s="31"/>
      <c r="AC27" s="31"/>
      <c r="AD27" s="31"/>
      <c r="AE27" s="276">
        <f t="shared" si="2"/>
        <v>0</v>
      </c>
    </row>
    <row r="28" ht="15.75" customHeight="1">
      <c r="A28" s="32"/>
      <c r="B28" s="32"/>
      <c r="C28" s="32"/>
      <c r="D28" s="32"/>
      <c r="E28" s="32"/>
      <c r="F28" s="32"/>
      <c r="H28" s="32"/>
      <c r="I28" s="31"/>
      <c r="J28" s="31"/>
      <c r="K28" s="31"/>
      <c r="L28" s="31"/>
      <c r="M28" s="31"/>
      <c r="N28" s="276">
        <f t="shared" si="1"/>
        <v>0</v>
      </c>
      <c r="R28" s="32"/>
      <c r="S28" s="32"/>
      <c r="T28" s="32"/>
      <c r="U28" s="32"/>
      <c r="V28" s="32"/>
      <c r="W28" s="32"/>
      <c r="Y28" s="32"/>
      <c r="Z28" s="31"/>
      <c r="AA28" s="31"/>
      <c r="AB28" s="31"/>
      <c r="AC28" s="31"/>
      <c r="AD28" s="31"/>
      <c r="AE28" s="276">
        <f t="shared" si="2"/>
        <v>0</v>
      </c>
    </row>
    <row r="29" ht="15.75" customHeight="1">
      <c r="A29" s="32"/>
      <c r="B29" s="32"/>
      <c r="C29" s="32"/>
      <c r="D29" s="32"/>
      <c r="E29" s="32"/>
      <c r="F29" s="32"/>
      <c r="H29" s="32"/>
      <c r="I29" s="31"/>
      <c r="J29" s="31"/>
      <c r="K29" s="31"/>
      <c r="L29" s="31"/>
      <c r="M29" s="31"/>
      <c r="N29" s="276">
        <f t="shared" si="1"/>
        <v>0</v>
      </c>
      <c r="R29" s="32"/>
      <c r="S29" s="32"/>
      <c r="T29" s="32"/>
      <c r="U29" s="32"/>
      <c r="V29" s="32"/>
      <c r="W29" s="32"/>
      <c r="Y29" s="32"/>
      <c r="Z29" s="31"/>
      <c r="AA29" s="31"/>
      <c r="AB29" s="31"/>
      <c r="AC29" s="31"/>
      <c r="AD29" s="31"/>
      <c r="AE29" s="276">
        <f t="shared" si="2"/>
        <v>0</v>
      </c>
    </row>
    <row r="30" ht="15.75" customHeight="1">
      <c r="A30" s="32"/>
      <c r="B30" s="32"/>
      <c r="C30" s="32"/>
      <c r="D30" s="32"/>
      <c r="E30" s="32"/>
      <c r="F30" s="32"/>
      <c r="H30" s="32"/>
      <c r="I30" s="31"/>
      <c r="J30" s="31"/>
      <c r="K30" s="31"/>
      <c r="L30" s="31"/>
      <c r="M30" s="31"/>
      <c r="N30" s="276">
        <f t="shared" si="1"/>
        <v>0</v>
      </c>
      <c r="R30" s="32"/>
      <c r="S30" s="32"/>
      <c r="T30" s="32"/>
      <c r="U30" s="32"/>
      <c r="V30" s="32"/>
      <c r="W30" s="32"/>
      <c r="Y30" s="32"/>
      <c r="Z30" s="31"/>
      <c r="AA30" s="31"/>
      <c r="AB30" s="31"/>
      <c r="AC30" s="31"/>
      <c r="AD30" s="31"/>
      <c r="AE30" s="276">
        <f t="shared" si="2"/>
        <v>0</v>
      </c>
    </row>
    <row r="31" ht="15.75" customHeight="1">
      <c r="A31" s="32"/>
      <c r="B31" s="32"/>
      <c r="C31" s="32"/>
      <c r="D31" s="32"/>
      <c r="E31" s="32"/>
      <c r="F31" s="32"/>
      <c r="H31" s="32"/>
      <c r="I31" s="31"/>
      <c r="J31" s="31"/>
      <c r="K31" s="31"/>
      <c r="L31" s="31"/>
      <c r="M31" s="31"/>
      <c r="N31" s="276">
        <f t="shared" si="1"/>
        <v>0</v>
      </c>
      <c r="R31" s="32"/>
      <c r="S31" s="32"/>
      <c r="T31" s="32"/>
      <c r="U31" s="32"/>
      <c r="V31" s="32"/>
      <c r="W31" s="32"/>
      <c r="Y31" s="32"/>
      <c r="Z31" s="31"/>
      <c r="AA31" s="31"/>
      <c r="AB31" s="31"/>
      <c r="AC31" s="31"/>
      <c r="AD31" s="31"/>
      <c r="AE31" s="276">
        <f t="shared" si="2"/>
        <v>0</v>
      </c>
    </row>
    <row r="32" ht="15.75" customHeight="1">
      <c r="A32" s="32"/>
      <c r="B32" s="32"/>
      <c r="C32" s="32"/>
      <c r="D32" s="32"/>
      <c r="E32" s="32"/>
      <c r="F32" s="32"/>
      <c r="H32" s="32"/>
      <c r="I32" s="32"/>
      <c r="J32" s="32"/>
      <c r="K32" s="32"/>
      <c r="L32" s="32"/>
      <c r="M32" s="32"/>
      <c r="N32" s="276">
        <f t="shared" si="1"/>
        <v>0</v>
      </c>
      <c r="R32" s="32"/>
      <c r="S32" s="32"/>
      <c r="T32" s="32"/>
      <c r="U32" s="32"/>
      <c r="V32" s="32"/>
      <c r="W32" s="32"/>
      <c r="Y32" s="32"/>
      <c r="Z32" s="32"/>
      <c r="AA32" s="32"/>
      <c r="AB32" s="32"/>
      <c r="AC32" s="32"/>
      <c r="AD32" s="32"/>
      <c r="AE32" s="276">
        <f t="shared" si="2"/>
        <v>0</v>
      </c>
    </row>
    <row r="33" ht="15.75" customHeight="1">
      <c r="A33" s="31"/>
      <c r="B33" s="31"/>
      <c r="C33" s="32"/>
      <c r="D33" s="32"/>
      <c r="E33" s="32"/>
      <c r="F33" s="32"/>
      <c r="H33" s="32"/>
      <c r="I33" s="32"/>
      <c r="J33" s="32"/>
      <c r="K33" s="32"/>
      <c r="L33" s="32"/>
      <c r="M33" s="32"/>
      <c r="N33" s="276">
        <f t="shared" si="1"/>
        <v>0</v>
      </c>
      <c r="R33" s="32"/>
      <c r="S33" s="32"/>
      <c r="T33" s="32"/>
      <c r="U33" s="32"/>
      <c r="V33" s="32"/>
      <c r="W33" s="32"/>
      <c r="Y33" s="32"/>
      <c r="Z33" s="32"/>
      <c r="AA33" s="32"/>
      <c r="AB33" s="32"/>
      <c r="AC33" s="32"/>
      <c r="AD33" s="32"/>
      <c r="AE33" s="276">
        <f t="shared" si="2"/>
        <v>0</v>
      </c>
      <c r="AJ33" s="129"/>
    </row>
    <row r="34" ht="15.75" customHeight="1">
      <c r="A34" s="32"/>
      <c r="B34" s="32"/>
      <c r="C34" s="32"/>
      <c r="D34" s="32"/>
      <c r="E34" s="32"/>
      <c r="F34" s="32"/>
      <c r="H34" s="281" t="s">
        <v>21</v>
      </c>
      <c r="I34" s="106"/>
      <c r="J34" s="106"/>
      <c r="K34" s="106"/>
      <c r="L34" s="106"/>
      <c r="M34" s="106"/>
      <c r="N34" s="107"/>
      <c r="R34" s="32"/>
      <c r="S34" s="32"/>
      <c r="T34" s="32"/>
      <c r="U34" s="32"/>
      <c r="V34" s="32"/>
      <c r="W34" s="32"/>
      <c r="Y34" s="281" t="s">
        <v>21</v>
      </c>
      <c r="Z34" s="106"/>
      <c r="AA34" s="106"/>
      <c r="AB34" s="106"/>
      <c r="AC34" s="106"/>
      <c r="AD34" s="106"/>
      <c r="AE34" s="107"/>
      <c r="AJ34" s="129"/>
      <c r="AK34" s="129"/>
    </row>
    <row r="35" ht="15.75" customHeight="1">
      <c r="A35" s="32"/>
      <c r="B35" s="32"/>
      <c r="C35" s="32"/>
      <c r="D35" s="32"/>
      <c r="E35" s="32"/>
      <c r="F35" s="32"/>
      <c r="H35" s="276"/>
      <c r="I35" s="276"/>
      <c r="J35" s="276"/>
      <c r="K35" s="276"/>
      <c r="L35" s="276"/>
      <c r="M35" s="281">
        <f>SUM(N5:N33)</f>
        <v>0</v>
      </c>
      <c r="N35" s="107"/>
      <c r="R35" s="32"/>
      <c r="S35" s="32"/>
      <c r="T35" s="32"/>
      <c r="U35" s="32"/>
      <c r="V35" s="32"/>
      <c r="W35" s="32"/>
      <c r="Y35" s="276"/>
      <c r="Z35" s="276"/>
      <c r="AA35" s="276"/>
      <c r="AB35" s="276"/>
      <c r="AC35" s="276"/>
      <c r="AD35" s="281">
        <f>SUM(AE5:AE33)</f>
        <v>0</v>
      </c>
      <c r="AE35" s="107"/>
      <c r="AJ35" s="129"/>
      <c r="AK35" s="129"/>
    </row>
    <row r="36" ht="15.75" customHeight="1">
      <c r="A36" s="32"/>
      <c r="B36" s="32"/>
      <c r="C36" s="32"/>
      <c r="D36" s="32"/>
      <c r="E36" s="32"/>
      <c r="F36" s="32"/>
      <c r="R36" s="32"/>
      <c r="S36" s="32"/>
      <c r="T36" s="32"/>
      <c r="U36" s="32"/>
      <c r="V36" s="32"/>
      <c r="W36" s="32"/>
      <c r="AJ36" s="129"/>
      <c r="AK36" s="129"/>
    </row>
    <row r="37" ht="15.75" customHeight="1">
      <c r="A37" s="32"/>
      <c r="B37" s="32"/>
      <c r="C37" s="32"/>
      <c r="D37" s="32"/>
      <c r="E37" s="32"/>
      <c r="F37" s="32"/>
      <c r="H37" s="282" t="s">
        <v>22</v>
      </c>
      <c r="I37" s="64"/>
      <c r="J37" s="64"/>
      <c r="K37" s="64"/>
      <c r="L37" s="64"/>
      <c r="M37" s="64"/>
      <c r="N37" s="64"/>
      <c r="R37" s="32"/>
      <c r="S37" s="32"/>
      <c r="T37" s="32"/>
      <c r="U37" s="32"/>
      <c r="V37" s="32"/>
      <c r="W37" s="32"/>
      <c r="Y37" s="282" t="s">
        <v>22</v>
      </c>
      <c r="Z37" s="64"/>
      <c r="AA37" s="64"/>
      <c r="AB37" s="64"/>
      <c r="AC37" s="64"/>
      <c r="AD37" s="64"/>
      <c r="AE37" s="64"/>
      <c r="AJ37" s="129"/>
      <c r="AK37" s="129"/>
    </row>
    <row r="38" ht="15.75" customHeight="1">
      <c r="A38" s="32"/>
      <c r="B38" s="32"/>
      <c r="C38" s="32"/>
      <c r="D38" s="32"/>
      <c r="E38" s="32"/>
      <c r="F38" s="32"/>
      <c r="R38" s="32"/>
      <c r="S38" s="32"/>
      <c r="T38" s="32"/>
      <c r="U38" s="32"/>
      <c r="V38" s="32"/>
      <c r="W38" s="32"/>
      <c r="AJ38" s="129"/>
      <c r="AK38" s="129"/>
    </row>
    <row r="39" ht="15.75" customHeight="1">
      <c r="A39" s="32"/>
      <c r="B39" s="32"/>
      <c r="C39" s="32"/>
      <c r="D39" s="32"/>
      <c r="E39" s="32"/>
      <c r="F39" s="32"/>
      <c r="R39" s="32"/>
      <c r="S39" s="32"/>
      <c r="T39" s="32"/>
      <c r="U39" s="32"/>
      <c r="V39" s="32"/>
      <c r="W39" s="32"/>
      <c r="AJ39" s="129"/>
      <c r="AK39" s="129"/>
    </row>
    <row r="40" ht="15.75" customHeight="1">
      <c r="A40" s="32"/>
      <c r="B40" s="32"/>
      <c r="C40" s="32"/>
      <c r="D40" s="32"/>
      <c r="E40" s="32"/>
      <c r="F40" s="32"/>
      <c r="R40" s="32"/>
      <c r="S40" s="32"/>
      <c r="T40" s="32"/>
      <c r="U40" s="32"/>
      <c r="V40" s="32"/>
      <c r="W40" s="32"/>
      <c r="AJ40" s="129"/>
      <c r="AK40" s="129"/>
    </row>
    <row r="41" ht="15.75" customHeight="1">
      <c r="A41" s="32"/>
      <c r="B41" s="32"/>
      <c r="C41" s="32"/>
      <c r="D41" s="32"/>
      <c r="E41" s="32"/>
      <c r="F41" s="32"/>
      <c r="R41" s="32"/>
      <c r="S41" s="32"/>
      <c r="T41" s="32"/>
      <c r="U41" s="32"/>
      <c r="V41" s="32"/>
      <c r="W41" s="32"/>
      <c r="AJ41" s="129"/>
      <c r="AK41" s="129"/>
    </row>
    <row r="42" ht="15.75" customHeight="1">
      <c r="A42" s="32"/>
      <c r="B42" s="32"/>
      <c r="C42" s="32"/>
      <c r="D42" s="32"/>
      <c r="E42" s="32"/>
      <c r="F42" s="32"/>
      <c r="R42" s="32"/>
      <c r="S42" s="32"/>
      <c r="T42" s="32"/>
      <c r="U42" s="32"/>
      <c r="V42" s="32"/>
      <c r="W42" s="32"/>
      <c r="AJ42" s="129"/>
      <c r="AK42" s="129"/>
    </row>
    <row r="43" ht="15.75" customHeight="1">
      <c r="A43" s="32"/>
      <c r="B43" s="32"/>
      <c r="C43" s="32"/>
      <c r="D43" s="32"/>
      <c r="E43" s="32"/>
      <c r="F43" s="32"/>
      <c r="R43" s="32"/>
      <c r="S43" s="32"/>
      <c r="T43" s="32"/>
      <c r="U43" s="32"/>
      <c r="V43" s="32"/>
      <c r="W43" s="32"/>
      <c r="AJ43" s="129"/>
      <c r="AK43" s="129"/>
    </row>
    <row r="44" ht="15.75" customHeight="1">
      <c r="A44" s="32"/>
      <c r="B44" s="32"/>
      <c r="C44" s="32"/>
      <c r="D44" s="32"/>
      <c r="E44" s="32"/>
      <c r="F44" s="32"/>
      <c r="R44" s="32"/>
      <c r="S44" s="32"/>
      <c r="T44" s="32"/>
      <c r="U44" s="32"/>
      <c r="V44" s="32"/>
      <c r="W44" s="32"/>
      <c r="AJ44" s="129"/>
      <c r="AK44" s="129"/>
    </row>
    <row r="45" ht="15.75" customHeight="1">
      <c r="A45" s="32"/>
      <c r="B45" s="32"/>
      <c r="C45" s="32"/>
      <c r="D45" s="32"/>
      <c r="E45" s="32"/>
      <c r="F45" s="32"/>
      <c r="R45" s="32"/>
      <c r="S45" s="32"/>
      <c r="T45" s="32"/>
      <c r="U45" s="32"/>
      <c r="V45" s="32"/>
      <c r="W45" s="32"/>
      <c r="AJ45" s="129"/>
      <c r="AK45" s="129"/>
    </row>
    <row r="46" ht="15.75" customHeight="1">
      <c r="A46" s="32"/>
      <c r="B46" s="32"/>
      <c r="C46" s="32"/>
      <c r="D46" s="32"/>
      <c r="E46" s="32"/>
      <c r="F46" s="32"/>
      <c r="H46" s="283" t="s">
        <v>1</v>
      </c>
      <c r="I46" s="12"/>
      <c r="J46" s="12"/>
      <c r="K46" s="12"/>
      <c r="L46" s="12"/>
      <c r="M46" s="12"/>
      <c r="N46" s="13"/>
      <c r="R46" s="32"/>
      <c r="S46" s="32"/>
      <c r="T46" s="32"/>
      <c r="U46" s="32"/>
      <c r="V46" s="32"/>
      <c r="W46" s="32"/>
      <c r="Y46" s="283" t="s">
        <v>1</v>
      </c>
      <c r="Z46" s="12"/>
      <c r="AA46" s="12"/>
      <c r="AB46" s="12"/>
      <c r="AC46" s="12"/>
      <c r="AD46" s="12"/>
      <c r="AE46" s="13"/>
      <c r="AJ46" s="129"/>
      <c r="AK46" s="129"/>
    </row>
    <row r="47" ht="15.75" customHeight="1">
      <c r="A47" s="32"/>
      <c r="B47" s="32"/>
      <c r="C47" s="32"/>
      <c r="D47" s="32"/>
      <c r="E47" s="32"/>
      <c r="F47" s="32"/>
      <c r="H47" s="63"/>
      <c r="I47" s="64"/>
      <c r="J47" s="64"/>
      <c r="K47" s="64"/>
      <c r="L47" s="64"/>
      <c r="M47" s="64"/>
      <c r="N47" s="65"/>
      <c r="R47" s="32"/>
      <c r="S47" s="32"/>
      <c r="T47" s="32"/>
      <c r="U47" s="32"/>
      <c r="V47" s="32"/>
      <c r="W47" s="32"/>
      <c r="Y47" s="63"/>
      <c r="Z47" s="64"/>
      <c r="AA47" s="64"/>
      <c r="AB47" s="64"/>
      <c r="AC47" s="64"/>
      <c r="AD47" s="64"/>
      <c r="AE47" s="65"/>
      <c r="AJ47" s="129"/>
      <c r="AK47" s="129"/>
    </row>
    <row r="48" ht="15.75" customHeight="1">
      <c r="A48" s="32"/>
      <c r="B48" s="32"/>
      <c r="C48" s="32"/>
      <c r="D48" s="32"/>
      <c r="E48" s="32"/>
      <c r="F48" s="32"/>
      <c r="R48" s="32"/>
      <c r="S48" s="32"/>
      <c r="T48" s="32"/>
      <c r="U48" s="32"/>
      <c r="V48" s="32"/>
      <c r="W48" s="32"/>
      <c r="AJ48" s="129"/>
      <c r="AK48" s="129"/>
    </row>
    <row r="49" ht="15.75" customHeight="1">
      <c r="A49" s="32"/>
      <c r="B49" s="32"/>
      <c r="C49" s="32"/>
      <c r="D49" s="32"/>
      <c r="E49" s="32"/>
      <c r="F49" s="32"/>
      <c r="H49" s="284" t="s">
        <v>3</v>
      </c>
      <c r="I49" s="222" t="s">
        <v>9</v>
      </c>
      <c r="J49" s="5"/>
      <c r="K49" s="6"/>
      <c r="L49" s="222" t="s">
        <v>10</v>
      </c>
      <c r="M49" s="5"/>
      <c r="N49" s="6"/>
      <c r="R49" s="32"/>
      <c r="S49" s="32"/>
      <c r="T49" s="32"/>
      <c r="U49" s="32"/>
      <c r="V49" s="32"/>
      <c r="W49" s="32"/>
      <c r="Y49" s="284" t="s">
        <v>3</v>
      </c>
      <c r="Z49" s="222" t="s">
        <v>9</v>
      </c>
      <c r="AA49" s="5"/>
      <c r="AB49" s="6"/>
      <c r="AC49" s="222" t="s">
        <v>10</v>
      </c>
      <c r="AD49" s="5"/>
      <c r="AE49" s="6"/>
      <c r="AJ49" s="129"/>
      <c r="AK49" s="129"/>
    </row>
    <row r="50" ht="15.75" customHeight="1">
      <c r="A50" s="32"/>
      <c r="B50" s="32"/>
      <c r="C50" s="32"/>
      <c r="D50" s="32"/>
      <c r="E50" s="32"/>
      <c r="F50" s="32"/>
      <c r="H50" s="285">
        <f>SUM(B56,M35)</f>
        <v>0</v>
      </c>
      <c r="I50" s="286">
        <f>COUNT(F5:F54,I5:M33)</f>
        <v>0</v>
      </c>
      <c r="J50" s="12"/>
      <c r="K50" s="13"/>
      <c r="L50" s="286">
        <f>SUM(F5:F54)+COUNT(I5:M33)</f>
        <v>0</v>
      </c>
      <c r="M50" s="12"/>
      <c r="N50" s="13"/>
      <c r="R50" s="32"/>
      <c r="S50" s="32"/>
      <c r="T50" s="32"/>
      <c r="U50" s="32"/>
      <c r="V50" s="32"/>
      <c r="W50" s="32"/>
      <c r="Y50" s="285">
        <f>SUM(S53,AD35)</f>
        <v>0</v>
      </c>
      <c r="Z50" s="286">
        <f>COUNT(W5:W51,Z5:AD33)</f>
        <v>0</v>
      </c>
      <c r="AA50" s="12"/>
      <c r="AB50" s="13"/>
      <c r="AC50" s="286">
        <f>SUM(W5:W51)+COUNT(Z5:AD33)</f>
        <v>0</v>
      </c>
      <c r="AD50" s="12"/>
      <c r="AE50" s="13"/>
      <c r="AJ50" s="129"/>
      <c r="AK50" s="129"/>
    </row>
    <row r="51" ht="15.75" customHeight="1">
      <c r="A51" s="32"/>
      <c r="B51" s="32"/>
      <c r="C51" s="32"/>
      <c r="D51" s="32"/>
      <c r="E51" s="32"/>
      <c r="F51" s="32"/>
      <c r="H51" s="69"/>
      <c r="I51" s="63"/>
      <c r="J51" s="64"/>
      <c r="K51" s="65"/>
      <c r="L51" s="63"/>
      <c r="M51" s="64"/>
      <c r="N51" s="65"/>
      <c r="R51" s="136"/>
      <c r="S51" s="136"/>
      <c r="T51" s="136"/>
      <c r="U51" s="136"/>
      <c r="V51" s="136"/>
      <c r="W51" s="136"/>
      <c r="Y51" s="69"/>
      <c r="Z51" s="63"/>
      <c r="AA51" s="64"/>
      <c r="AB51" s="65"/>
      <c r="AC51" s="63"/>
      <c r="AD51" s="64"/>
      <c r="AE51" s="65"/>
      <c r="AJ51" s="129"/>
      <c r="AK51" s="129"/>
    </row>
    <row r="52" ht="15.75" customHeight="1">
      <c r="A52" s="31"/>
      <c r="B52" s="31"/>
      <c r="C52" s="32"/>
      <c r="D52" s="32"/>
      <c r="E52" s="32"/>
      <c r="F52" s="32"/>
      <c r="L52" s="311" t="s">
        <v>25</v>
      </c>
      <c r="M52" s="5"/>
      <c r="N52" s="6"/>
      <c r="R52" s="287" t="s">
        <v>1</v>
      </c>
      <c r="S52" s="5"/>
      <c r="T52" s="5"/>
      <c r="U52" s="5"/>
      <c r="V52" s="5"/>
      <c r="W52" s="5"/>
      <c r="AC52" s="311" t="s">
        <v>25</v>
      </c>
      <c r="AD52" s="5"/>
      <c r="AE52" s="6"/>
      <c r="AJ52" s="129"/>
      <c r="AK52" s="129"/>
    </row>
    <row r="53" ht="15.75" customHeight="1">
      <c r="A53" s="31"/>
      <c r="B53" s="31"/>
      <c r="C53" s="32"/>
      <c r="D53" s="32"/>
      <c r="E53" s="32"/>
      <c r="F53" s="32"/>
      <c r="L53" s="312">
        <f>ROUNDUP(SUM(F5:F54)/3+COUNT(I5:M33)/2,0)</f>
        <v>0</v>
      </c>
      <c r="M53" s="5"/>
      <c r="N53" s="6"/>
      <c r="R53" s="222"/>
      <c r="S53" s="288">
        <f>SUM(S5:S51)</f>
        <v>0</v>
      </c>
      <c r="T53" s="289" t="s">
        <v>11</v>
      </c>
      <c r="U53" s="289"/>
      <c r="V53" s="289"/>
      <c r="W53" s="288">
        <f>SUM(W5:W51)</f>
        <v>0</v>
      </c>
      <c r="AC53" s="312">
        <f>ROUNDUP(SUM(W5:W51)/3+COUNT(Z5:AD33)/2,0)</f>
        <v>0</v>
      </c>
      <c r="AD53" s="5"/>
      <c r="AE53" s="6"/>
      <c r="AJ53" s="129"/>
      <c r="AK53" s="129"/>
    </row>
    <row r="54" ht="15.75" customHeight="1">
      <c r="A54" s="32"/>
      <c r="B54" s="32"/>
      <c r="C54" s="32"/>
      <c r="D54" s="32"/>
      <c r="E54" s="32"/>
      <c r="F54" s="32"/>
    </row>
    <row r="55" ht="15.75" customHeight="1">
      <c r="A55" s="287" t="s">
        <v>1</v>
      </c>
      <c r="B55" s="5"/>
      <c r="C55" s="5"/>
      <c r="D55" s="5"/>
      <c r="E55" s="5"/>
      <c r="F55" s="5"/>
    </row>
    <row r="56" ht="15.75" customHeight="1">
      <c r="A56" s="222"/>
      <c r="B56" s="288">
        <f>SUM(B5:B54)</f>
        <v>0</v>
      </c>
      <c r="C56" s="289" t="s">
        <v>11</v>
      </c>
      <c r="D56" s="289"/>
      <c r="E56" s="289"/>
      <c r="F56" s="288">
        <f>SUM(F5:F54)</f>
        <v>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J3:N3"/>
    <mergeCell ref="AA3:AE3"/>
    <mergeCell ref="AI5:AK7"/>
    <mergeCell ref="AI8:AJ9"/>
    <mergeCell ref="AK8:AK9"/>
    <mergeCell ref="AI10:AJ11"/>
    <mergeCell ref="AK10:AK11"/>
    <mergeCell ref="AI12:AJ13"/>
    <mergeCell ref="AK12:AK13"/>
    <mergeCell ref="AI14:AJ15"/>
    <mergeCell ref="AK14:AK15"/>
    <mergeCell ref="H34:N34"/>
    <mergeCell ref="Y34:AE34"/>
    <mergeCell ref="AD35:AE35"/>
    <mergeCell ref="Z49:AB49"/>
    <mergeCell ref="AC49:AE49"/>
    <mergeCell ref="Y50:Y51"/>
    <mergeCell ref="Z50:AB51"/>
    <mergeCell ref="AC50:AE51"/>
    <mergeCell ref="AC52:AE52"/>
    <mergeCell ref="AC53:AE53"/>
    <mergeCell ref="H50:H51"/>
    <mergeCell ref="I50:K51"/>
    <mergeCell ref="L50:N51"/>
    <mergeCell ref="L52:N52"/>
    <mergeCell ref="R52:W52"/>
    <mergeCell ref="L53:N53"/>
    <mergeCell ref="A55:F55"/>
    <mergeCell ref="M35:N35"/>
    <mergeCell ref="H37:N37"/>
    <mergeCell ref="Y37:AE37"/>
    <mergeCell ref="H46:N47"/>
    <mergeCell ref="Y46:AE47"/>
    <mergeCell ref="I49:K49"/>
    <mergeCell ref="L49:N49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5.43"/>
    <col customWidth="1" min="4" max="5" width="4.43"/>
    <col customWidth="1" min="6" max="6" width="7.0"/>
    <col customWidth="1" min="7" max="7" width="3.57"/>
    <col customWidth="1" min="8" max="8" width="3.71"/>
    <col customWidth="1" min="9" max="9" width="2.57"/>
    <col customWidth="1" min="10" max="10" width="2.86"/>
    <col customWidth="1" min="11" max="11" width="4.0"/>
    <col customWidth="1" min="12" max="12" width="3.86"/>
    <col customWidth="1" min="13" max="15" width="3.71"/>
    <col customWidth="1" min="16" max="17" width="4.29"/>
    <col customWidth="1" min="18" max="18" width="4.57"/>
    <col customWidth="1" min="19" max="19" width="4.43"/>
    <col customWidth="1" min="20" max="20" width="5.57"/>
  </cols>
  <sheetData>
    <row r="1" ht="9.0" customHeight="1">
      <c r="K1" s="178"/>
      <c r="R1" s="231"/>
      <c r="S1" s="231"/>
      <c r="T1" s="231"/>
    </row>
    <row r="2" ht="24.0" customHeight="1">
      <c r="A2" s="180" t="s">
        <v>26</v>
      </c>
      <c r="B2" s="313" t="s">
        <v>52</v>
      </c>
      <c r="C2" s="182"/>
      <c r="D2" s="182"/>
      <c r="E2" s="182"/>
      <c r="F2" s="182"/>
      <c r="G2" s="182"/>
      <c r="H2" s="182"/>
      <c r="I2" s="183"/>
      <c r="J2" s="314"/>
      <c r="N2" s="51"/>
      <c r="O2" s="315" t="s">
        <v>28</v>
      </c>
      <c r="P2" s="182"/>
      <c r="Q2" s="186"/>
      <c r="R2" s="182"/>
      <c r="S2" s="182"/>
      <c r="T2" s="187"/>
    </row>
    <row r="3" ht="13.5" customHeight="1">
      <c r="I3" s="190"/>
      <c r="J3" s="190"/>
      <c r="M3" s="59" t="s">
        <v>35</v>
      </c>
      <c r="N3" s="6"/>
    </row>
    <row r="4" ht="16.5" customHeight="1">
      <c r="A4" s="316" t="s">
        <v>32</v>
      </c>
      <c r="B4" s="59" t="s">
        <v>33</v>
      </c>
      <c r="C4" s="6"/>
      <c r="D4" s="316" t="s">
        <v>3</v>
      </c>
      <c r="E4" s="316" t="s">
        <v>4</v>
      </c>
      <c r="F4" s="59" t="s">
        <v>34</v>
      </c>
      <c r="G4" s="5"/>
      <c r="H4" s="6"/>
      <c r="I4" s="100"/>
      <c r="K4" s="59" t="s">
        <v>37</v>
      </c>
      <c r="L4" s="6"/>
      <c r="M4" s="59" t="s">
        <v>38</v>
      </c>
      <c r="N4" s="6"/>
      <c r="O4" s="59" t="s">
        <v>9</v>
      </c>
      <c r="P4" s="6"/>
    </row>
    <row r="5">
      <c r="A5" s="317"/>
      <c r="B5" s="318"/>
      <c r="C5" s="46"/>
      <c r="D5" s="318"/>
      <c r="E5" s="318"/>
      <c r="F5" s="319"/>
      <c r="G5" s="209"/>
      <c r="H5" s="202"/>
      <c r="I5" s="320"/>
      <c r="J5" s="321"/>
      <c r="K5" s="322">
        <f>SUM(A63,P10)</f>
        <v>0</v>
      </c>
      <c r="L5" s="13"/>
      <c r="M5" s="322">
        <f>SUM(D5:D62,M12:T62)</f>
        <v>0</v>
      </c>
      <c r="N5" s="13"/>
      <c r="O5" s="322">
        <f>COUNT(A5:A62,M12:T62)</f>
        <v>0</v>
      </c>
      <c r="P5" s="13"/>
      <c r="Q5" s="190"/>
    </row>
    <row r="6">
      <c r="A6" s="317"/>
      <c r="B6" s="323"/>
      <c r="C6" s="107"/>
      <c r="D6" s="323"/>
      <c r="E6" s="323"/>
      <c r="F6" s="323"/>
      <c r="G6" s="106"/>
      <c r="H6" s="107"/>
      <c r="I6" s="320"/>
      <c r="J6" s="321"/>
      <c r="K6" s="63"/>
      <c r="L6" s="65"/>
      <c r="M6" s="63"/>
      <c r="N6" s="65"/>
      <c r="O6" s="63"/>
      <c r="P6" s="65"/>
      <c r="Q6" s="324"/>
    </row>
    <row r="7">
      <c r="A7" s="317"/>
      <c r="B7" s="323"/>
      <c r="C7" s="107"/>
      <c r="D7" s="323"/>
      <c r="E7" s="323"/>
      <c r="F7" s="323"/>
      <c r="G7" s="106"/>
      <c r="H7" s="107"/>
      <c r="I7" s="320"/>
      <c r="J7" s="321"/>
      <c r="Q7" s="324"/>
    </row>
    <row r="8" ht="14.25" customHeight="1">
      <c r="A8" s="317"/>
      <c r="B8" s="323"/>
      <c r="C8" s="107"/>
      <c r="D8" s="323"/>
      <c r="E8" s="323"/>
      <c r="F8" s="323"/>
      <c r="G8" s="106"/>
      <c r="H8" s="107"/>
      <c r="I8" s="320"/>
      <c r="J8" s="321"/>
      <c r="L8" s="325" t="s">
        <v>53</v>
      </c>
    </row>
    <row r="9">
      <c r="A9" s="317"/>
      <c r="B9" s="323"/>
      <c r="C9" s="107"/>
      <c r="D9" s="323"/>
      <c r="E9" s="323"/>
      <c r="F9" s="323"/>
      <c r="G9" s="106"/>
      <c r="H9" s="107"/>
      <c r="I9" s="320"/>
      <c r="J9" s="321"/>
      <c r="K9" s="60" t="s">
        <v>39</v>
      </c>
      <c r="L9" s="5"/>
      <c r="M9" s="6"/>
      <c r="N9" s="326"/>
      <c r="O9" s="101"/>
      <c r="P9" s="101"/>
      <c r="Q9" s="101"/>
      <c r="R9" s="101"/>
    </row>
    <row r="10" ht="13.5" customHeight="1">
      <c r="A10" s="317"/>
      <c r="B10" s="323"/>
      <c r="C10" s="107"/>
      <c r="D10" s="323"/>
      <c r="E10" s="323"/>
      <c r="F10" s="323"/>
      <c r="G10" s="106"/>
      <c r="H10" s="107"/>
      <c r="I10" s="320"/>
      <c r="J10" s="321"/>
      <c r="K10" s="327"/>
      <c r="N10" s="328" t="s">
        <v>41</v>
      </c>
      <c r="O10" s="329"/>
      <c r="P10" s="227">
        <f>COUNT(M12:T62)</f>
        <v>0</v>
      </c>
      <c r="Q10" s="229"/>
      <c r="R10" s="330" t="s">
        <v>42</v>
      </c>
      <c r="S10" s="331">
        <f>SUM(M12:T62)</f>
        <v>0</v>
      </c>
      <c r="T10" s="6"/>
    </row>
    <row r="11" ht="13.5" customHeight="1">
      <c r="A11" s="317"/>
      <c r="B11" s="323"/>
      <c r="C11" s="107"/>
      <c r="D11" s="323"/>
      <c r="E11" s="323"/>
      <c r="F11" s="323"/>
      <c r="G11" s="106"/>
      <c r="H11" s="107"/>
      <c r="I11" s="320"/>
      <c r="J11" s="321"/>
      <c r="K11" s="230" t="s">
        <v>33</v>
      </c>
      <c r="L11" s="229"/>
      <c r="M11" s="231"/>
      <c r="N11" s="232"/>
      <c r="O11" s="232"/>
      <c r="P11" s="232"/>
      <c r="Q11" s="232"/>
      <c r="R11" s="232"/>
      <c r="S11" s="232"/>
      <c r="T11" s="332"/>
    </row>
    <row r="12" ht="13.5" customHeight="1">
      <c r="A12" s="317"/>
      <c r="B12" s="323"/>
      <c r="C12" s="107"/>
      <c r="D12" s="323"/>
      <c r="E12" s="323"/>
      <c r="F12" s="323"/>
      <c r="G12" s="106"/>
      <c r="H12" s="107"/>
      <c r="I12" s="320"/>
      <c r="J12" s="321"/>
      <c r="K12" s="333"/>
      <c r="L12" s="46"/>
      <c r="M12" s="334"/>
      <c r="N12" s="334"/>
      <c r="O12" s="334"/>
      <c r="P12" s="334"/>
      <c r="Q12" s="334"/>
      <c r="R12" s="334"/>
      <c r="S12" s="334"/>
      <c r="T12" s="335"/>
    </row>
    <row r="13" ht="13.5" customHeight="1">
      <c r="A13" s="317"/>
      <c r="B13" s="323"/>
      <c r="C13" s="107"/>
      <c r="D13" s="323"/>
      <c r="E13" s="323"/>
      <c r="F13" s="323"/>
      <c r="G13" s="106"/>
      <c r="H13" s="107"/>
      <c r="I13" s="320"/>
      <c r="J13" s="321"/>
      <c r="K13" s="336"/>
      <c r="L13" s="107"/>
      <c r="M13" s="337"/>
      <c r="N13" s="337"/>
      <c r="O13" s="337"/>
      <c r="P13" s="337"/>
      <c r="Q13" s="337"/>
      <c r="R13" s="337"/>
      <c r="S13" s="338"/>
      <c r="T13" s="339"/>
    </row>
    <row r="14" ht="13.5" customHeight="1">
      <c r="A14" s="317"/>
      <c r="B14" s="323"/>
      <c r="C14" s="107"/>
      <c r="D14" s="323"/>
      <c r="E14" s="323"/>
      <c r="F14" s="323"/>
      <c r="G14" s="106"/>
      <c r="H14" s="107"/>
      <c r="I14" s="320"/>
      <c r="J14" s="321"/>
      <c r="K14" s="336"/>
      <c r="L14" s="107"/>
      <c r="M14" s="337"/>
      <c r="N14" s="337"/>
      <c r="O14" s="337"/>
      <c r="P14" s="337"/>
      <c r="Q14" s="337"/>
      <c r="R14" s="337"/>
      <c r="S14" s="338"/>
      <c r="T14" s="339"/>
    </row>
    <row r="15" ht="13.5" customHeight="1">
      <c r="A15" s="317"/>
      <c r="B15" s="323"/>
      <c r="C15" s="107"/>
      <c r="D15" s="323"/>
      <c r="E15" s="323"/>
      <c r="F15" s="323"/>
      <c r="G15" s="106"/>
      <c r="H15" s="107"/>
      <c r="I15" s="320"/>
      <c r="J15" s="321"/>
      <c r="K15" s="340"/>
      <c r="L15" s="107"/>
      <c r="M15" s="337"/>
      <c r="N15" s="337"/>
      <c r="O15" s="337"/>
      <c r="P15" s="337"/>
      <c r="Q15" s="337"/>
      <c r="R15" s="337"/>
      <c r="S15" s="338"/>
      <c r="T15" s="339"/>
    </row>
    <row r="16" ht="13.5" customHeight="1">
      <c r="A16" s="317"/>
      <c r="B16" s="323"/>
      <c r="C16" s="107"/>
      <c r="D16" s="323"/>
      <c r="E16" s="323"/>
      <c r="F16" s="323"/>
      <c r="G16" s="106"/>
      <c r="H16" s="107"/>
      <c r="I16" s="320"/>
      <c r="J16" s="321"/>
      <c r="K16" s="340"/>
      <c r="L16" s="107"/>
      <c r="M16" s="337"/>
      <c r="N16" s="337"/>
      <c r="O16" s="337"/>
      <c r="P16" s="337"/>
      <c r="Q16" s="337"/>
      <c r="R16" s="337"/>
      <c r="S16" s="338"/>
      <c r="T16" s="339"/>
    </row>
    <row r="17" ht="13.5" customHeight="1">
      <c r="A17" s="317"/>
      <c r="B17" s="323"/>
      <c r="C17" s="107"/>
      <c r="D17" s="323"/>
      <c r="E17" s="323"/>
      <c r="F17" s="323"/>
      <c r="G17" s="106"/>
      <c r="H17" s="107"/>
      <c r="I17" s="320"/>
      <c r="J17" s="321"/>
      <c r="K17" s="340"/>
      <c r="L17" s="107"/>
      <c r="M17" s="337"/>
      <c r="N17" s="337"/>
      <c r="O17" s="337"/>
      <c r="P17" s="337"/>
      <c r="Q17" s="337"/>
      <c r="R17" s="337"/>
      <c r="S17" s="338"/>
      <c r="T17" s="339"/>
    </row>
    <row r="18" ht="13.5" customHeight="1">
      <c r="A18" s="317"/>
      <c r="B18" s="323"/>
      <c r="C18" s="107"/>
      <c r="D18" s="323"/>
      <c r="E18" s="323"/>
      <c r="F18" s="323"/>
      <c r="G18" s="106"/>
      <c r="H18" s="107"/>
      <c r="I18" s="320"/>
      <c r="J18" s="321"/>
      <c r="K18" s="340"/>
      <c r="L18" s="107"/>
      <c r="M18" s="337"/>
      <c r="N18" s="337"/>
      <c r="O18" s="337"/>
      <c r="P18" s="337"/>
      <c r="Q18" s="337"/>
      <c r="R18" s="337"/>
      <c r="S18" s="338"/>
      <c r="T18" s="339"/>
    </row>
    <row r="19" ht="13.5" customHeight="1">
      <c r="A19" s="317"/>
      <c r="B19" s="323"/>
      <c r="C19" s="107"/>
      <c r="D19" s="323"/>
      <c r="E19" s="323"/>
      <c r="F19" s="323"/>
      <c r="G19" s="106"/>
      <c r="H19" s="107"/>
      <c r="I19" s="320"/>
      <c r="J19" s="321"/>
      <c r="K19" s="340"/>
      <c r="L19" s="107"/>
      <c r="M19" s="337"/>
      <c r="N19" s="337"/>
      <c r="O19" s="337"/>
      <c r="P19" s="337"/>
      <c r="Q19" s="337"/>
      <c r="R19" s="337"/>
      <c r="S19" s="338"/>
      <c r="T19" s="339"/>
    </row>
    <row r="20" ht="13.5" customHeight="1">
      <c r="A20" s="317"/>
      <c r="B20" s="323"/>
      <c r="C20" s="107"/>
      <c r="D20" s="323"/>
      <c r="E20" s="323"/>
      <c r="F20" s="323"/>
      <c r="G20" s="106"/>
      <c r="H20" s="107"/>
      <c r="I20" s="320"/>
      <c r="J20" s="321"/>
      <c r="K20" s="336"/>
      <c r="L20" s="107"/>
      <c r="M20" s="337"/>
      <c r="N20" s="337"/>
      <c r="O20" s="337"/>
      <c r="P20" s="337"/>
      <c r="Q20" s="337"/>
      <c r="R20" s="337"/>
      <c r="S20" s="338"/>
      <c r="T20" s="339"/>
    </row>
    <row r="21" ht="13.5" customHeight="1">
      <c r="A21" s="317"/>
      <c r="B21" s="323"/>
      <c r="C21" s="107"/>
      <c r="D21" s="323"/>
      <c r="E21" s="323"/>
      <c r="F21" s="323"/>
      <c r="G21" s="106"/>
      <c r="H21" s="107"/>
      <c r="I21" s="320"/>
      <c r="J21" s="321"/>
      <c r="K21" s="336"/>
      <c r="L21" s="107"/>
      <c r="M21" s="337"/>
      <c r="N21" s="337"/>
      <c r="O21" s="337"/>
      <c r="P21" s="337"/>
      <c r="Q21" s="337"/>
      <c r="R21" s="337"/>
      <c r="S21" s="338"/>
      <c r="T21" s="339"/>
    </row>
    <row r="22" ht="13.5" customHeight="1">
      <c r="A22" s="317"/>
      <c r="B22" s="323"/>
      <c r="C22" s="107"/>
      <c r="D22" s="323"/>
      <c r="E22" s="323"/>
      <c r="F22" s="323"/>
      <c r="G22" s="106"/>
      <c r="H22" s="107"/>
      <c r="I22" s="320"/>
      <c r="J22" s="321"/>
      <c r="K22" s="336"/>
      <c r="L22" s="107"/>
      <c r="M22" s="337"/>
      <c r="N22" s="337"/>
      <c r="O22" s="337"/>
      <c r="P22" s="337"/>
      <c r="Q22" s="337"/>
      <c r="R22" s="337"/>
      <c r="S22" s="338"/>
      <c r="T22" s="339"/>
    </row>
    <row r="23" ht="13.5" customHeight="1">
      <c r="A23" s="317"/>
      <c r="B23" s="323"/>
      <c r="C23" s="107"/>
      <c r="D23" s="323"/>
      <c r="E23" s="323"/>
      <c r="F23" s="323"/>
      <c r="G23" s="106"/>
      <c r="H23" s="107"/>
      <c r="I23" s="320"/>
      <c r="J23" s="321"/>
      <c r="K23" s="336"/>
      <c r="L23" s="107"/>
      <c r="M23" s="337"/>
      <c r="N23" s="337"/>
      <c r="O23" s="337"/>
      <c r="P23" s="337"/>
      <c r="Q23" s="337"/>
      <c r="R23" s="337"/>
      <c r="S23" s="338"/>
      <c r="T23" s="339"/>
    </row>
    <row r="24" ht="13.5" customHeight="1">
      <c r="A24" s="317"/>
      <c r="B24" s="323"/>
      <c r="C24" s="107"/>
      <c r="D24" s="323"/>
      <c r="E24" s="323"/>
      <c r="F24" s="323"/>
      <c r="G24" s="106"/>
      <c r="H24" s="107"/>
      <c r="I24" s="320"/>
      <c r="J24" s="321"/>
      <c r="K24" s="336"/>
      <c r="L24" s="107"/>
      <c r="M24" s="337"/>
      <c r="N24" s="337"/>
      <c r="O24" s="337"/>
      <c r="P24" s="337"/>
      <c r="Q24" s="337"/>
      <c r="R24" s="337"/>
      <c r="S24" s="338"/>
      <c r="T24" s="339"/>
    </row>
    <row r="25" ht="13.5" customHeight="1">
      <c r="A25" s="317"/>
      <c r="B25" s="323"/>
      <c r="C25" s="107"/>
      <c r="D25" s="323"/>
      <c r="E25" s="323"/>
      <c r="F25" s="323"/>
      <c r="G25" s="106"/>
      <c r="H25" s="107"/>
      <c r="I25" s="320"/>
      <c r="J25" s="321"/>
      <c r="K25" s="336"/>
      <c r="L25" s="107"/>
      <c r="M25" s="337"/>
      <c r="N25" s="337"/>
      <c r="O25" s="337"/>
      <c r="P25" s="337"/>
      <c r="Q25" s="337"/>
      <c r="R25" s="337"/>
      <c r="S25" s="338"/>
      <c r="T25" s="339"/>
    </row>
    <row r="26" ht="13.5" customHeight="1">
      <c r="A26" s="317"/>
      <c r="B26" s="323"/>
      <c r="C26" s="107"/>
      <c r="D26" s="323"/>
      <c r="E26" s="323"/>
      <c r="F26" s="323"/>
      <c r="G26" s="106"/>
      <c r="H26" s="107"/>
      <c r="I26" s="320"/>
      <c r="J26" s="321"/>
      <c r="K26" s="336"/>
      <c r="L26" s="107"/>
      <c r="M26" s="337"/>
      <c r="N26" s="337"/>
      <c r="O26" s="337"/>
      <c r="P26" s="337"/>
      <c r="Q26" s="337"/>
      <c r="R26" s="337"/>
      <c r="S26" s="338"/>
      <c r="T26" s="339"/>
    </row>
    <row r="27" ht="13.5" customHeight="1">
      <c r="A27" s="317"/>
      <c r="B27" s="323"/>
      <c r="C27" s="107"/>
      <c r="D27" s="323"/>
      <c r="E27" s="323"/>
      <c r="F27" s="323"/>
      <c r="G27" s="106"/>
      <c r="H27" s="107"/>
      <c r="I27" s="320"/>
      <c r="J27" s="321"/>
      <c r="K27" s="336"/>
      <c r="L27" s="107"/>
      <c r="M27" s="337"/>
      <c r="N27" s="337"/>
      <c r="O27" s="337"/>
      <c r="P27" s="337"/>
      <c r="Q27" s="337"/>
      <c r="R27" s="337"/>
      <c r="S27" s="338"/>
      <c r="T27" s="339"/>
    </row>
    <row r="28" ht="13.5" customHeight="1">
      <c r="A28" s="317"/>
      <c r="B28" s="323"/>
      <c r="C28" s="107"/>
      <c r="D28" s="323"/>
      <c r="E28" s="323"/>
      <c r="F28" s="323"/>
      <c r="G28" s="106"/>
      <c r="H28" s="107"/>
      <c r="I28" s="320"/>
      <c r="J28" s="321"/>
      <c r="K28" s="336"/>
      <c r="L28" s="107"/>
      <c r="M28" s="337"/>
      <c r="N28" s="337"/>
      <c r="O28" s="337"/>
      <c r="P28" s="337"/>
      <c r="Q28" s="337"/>
      <c r="R28" s="337"/>
      <c r="S28" s="338"/>
      <c r="T28" s="339"/>
    </row>
    <row r="29" ht="13.5" customHeight="1">
      <c r="A29" s="317"/>
      <c r="B29" s="323"/>
      <c r="C29" s="107"/>
      <c r="D29" s="323"/>
      <c r="E29" s="323"/>
      <c r="F29" s="323"/>
      <c r="G29" s="106"/>
      <c r="H29" s="107"/>
      <c r="I29" s="320"/>
      <c r="J29" s="321"/>
      <c r="K29" s="336"/>
      <c r="L29" s="107"/>
      <c r="M29" s="337"/>
      <c r="N29" s="337"/>
      <c r="O29" s="337"/>
      <c r="P29" s="337"/>
      <c r="Q29" s="337"/>
      <c r="R29" s="337"/>
      <c r="S29" s="338"/>
      <c r="T29" s="339"/>
    </row>
    <row r="30" ht="13.5" customHeight="1">
      <c r="A30" s="317"/>
      <c r="B30" s="323"/>
      <c r="C30" s="107"/>
      <c r="D30" s="323"/>
      <c r="E30" s="323"/>
      <c r="F30" s="323"/>
      <c r="G30" s="106"/>
      <c r="H30" s="107"/>
      <c r="I30" s="320"/>
      <c r="J30" s="321"/>
      <c r="K30" s="336"/>
      <c r="L30" s="107"/>
      <c r="M30" s="337"/>
      <c r="N30" s="337"/>
      <c r="O30" s="337"/>
      <c r="P30" s="337"/>
      <c r="Q30" s="337"/>
      <c r="R30" s="337"/>
      <c r="S30" s="338"/>
      <c r="T30" s="339"/>
    </row>
    <row r="31" ht="13.5" customHeight="1">
      <c r="A31" s="317"/>
      <c r="B31" s="323"/>
      <c r="C31" s="107"/>
      <c r="D31" s="323"/>
      <c r="E31" s="323"/>
      <c r="F31" s="323"/>
      <c r="G31" s="106"/>
      <c r="H31" s="107"/>
      <c r="I31" s="320"/>
      <c r="J31" s="321"/>
      <c r="K31" s="336"/>
      <c r="L31" s="107"/>
      <c r="M31" s="337"/>
      <c r="N31" s="337"/>
      <c r="O31" s="337"/>
      <c r="P31" s="337"/>
      <c r="Q31" s="337"/>
      <c r="R31" s="337"/>
      <c r="S31" s="338"/>
      <c r="T31" s="339"/>
    </row>
    <row r="32" ht="13.5" customHeight="1">
      <c r="A32" s="317"/>
      <c r="B32" s="323"/>
      <c r="C32" s="107"/>
      <c r="D32" s="323"/>
      <c r="E32" s="323"/>
      <c r="F32" s="323"/>
      <c r="G32" s="106"/>
      <c r="H32" s="107"/>
      <c r="I32" s="320"/>
      <c r="J32" s="321"/>
      <c r="K32" s="336"/>
      <c r="L32" s="107"/>
      <c r="M32" s="337"/>
      <c r="N32" s="337"/>
      <c r="O32" s="337"/>
      <c r="P32" s="337"/>
      <c r="Q32" s="337"/>
      <c r="R32" s="337"/>
      <c r="S32" s="338"/>
      <c r="T32" s="339"/>
    </row>
    <row r="33" ht="13.5" customHeight="1">
      <c r="A33" s="317"/>
      <c r="B33" s="323"/>
      <c r="C33" s="107"/>
      <c r="D33" s="323"/>
      <c r="E33" s="323"/>
      <c r="F33" s="323"/>
      <c r="G33" s="106"/>
      <c r="H33" s="107"/>
      <c r="I33" s="320"/>
      <c r="J33" s="321"/>
      <c r="K33" s="336"/>
      <c r="L33" s="107"/>
      <c r="M33" s="337"/>
      <c r="N33" s="337"/>
      <c r="O33" s="337"/>
      <c r="P33" s="337"/>
      <c r="Q33" s="337"/>
      <c r="R33" s="337"/>
      <c r="S33" s="338"/>
      <c r="T33" s="339"/>
    </row>
    <row r="34" ht="13.5" customHeight="1">
      <c r="A34" s="317"/>
      <c r="B34" s="323"/>
      <c r="C34" s="107"/>
      <c r="D34" s="323"/>
      <c r="E34" s="323"/>
      <c r="F34" s="323"/>
      <c r="G34" s="106"/>
      <c r="H34" s="107"/>
      <c r="I34" s="320"/>
      <c r="J34" s="321"/>
      <c r="K34" s="336"/>
      <c r="L34" s="107"/>
      <c r="M34" s="337"/>
      <c r="N34" s="337"/>
      <c r="O34" s="337"/>
      <c r="P34" s="337"/>
      <c r="Q34" s="337"/>
      <c r="R34" s="337"/>
      <c r="S34" s="338"/>
      <c r="T34" s="339"/>
    </row>
    <row r="35" ht="13.5" customHeight="1">
      <c r="A35" s="317"/>
      <c r="B35" s="323"/>
      <c r="C35" s="107"/>
      <c r="D35" s="323"/>
      <c r="E35" s="323"/>
      <c r="F35" s="323"/>
      <c r="G35" s="106"/>
      <c r="H35" s="107"/>
      <c r="I35" s="320"/>
      <c r="J35" s="321"/>
      <c r="K35" s="336"/>
      <c r="L35" s="107"/>
      <c r="M35" s="337"/>
      <c r="N35" s="337"/>
      <c r="O35" s="337"/>
      <c r="P35" s="337"/>
      <c r="Q35" s="337"/>
      <c r="R35" s="337"/>
      <c r="S35" s="338"/>
      <c r="T35" s="339"/>
    </row>
    <row r="36" ht="13.5" customHeight="1">
      <c r="A36" s="317"/>
      <c r="B36" s="323"/>
      <c r="C36" s="107"/>
      <c r="D36" s="323"/>
      <c r="E36" s="323"/>
      <c r="F36" s="323"/>
      <c r="G36" s="106"/>
      <c r="H36" s="107"/>
      <c r="I36" s="320"/>
      <c r="J36" s="321"/>
      <c r="K36" s="336"/>
      <c r="L36" s="107"/>
      <c r="M36" s="337"/>
      <c r="N36" s="337"/>
      <c r="O36" s="337"/>
      <c r="P36" s="337"/>
      <c r="Q36" s="337"/>
      <c r="R36" s="337"/>
      <c r="S36" s="338"/>
      <c r="T36" s="339"/>
    </row>
    <row r="37" ht="13.5" customHeight="1">
      <c r="A37" s="317"/>
      <c r="B37" s="323"/>
      <c r="C37" s="107"/>
      <c r="D37" s="323"/>
      <c r="E37" s="323"/>
      <c r="F37" s="323"/>
      <c r="G37" s="106"/>
      <c r="H37" s="107"/>
      <c r="I37" s="320"/>
      <c r="J37" s="321"/>
      <c r="K37" s="336"/>
      <c r="L37" s="107"/>
      <c r="M37" s="337"/>
      <c r="N37" s="337"/>
      <c r="O37" s="337"/>
      <c r="P37" s="337"/>
      <c r="Q37" s="337"/>
      <c r="R37" s="337"/>
      <c r="S37" s="338"/>
      <c r="T37" s="339"/>
    </row>
    <row r="38" ht="13.5" customHeight="1">
      <c r="A38" s="317"/>
      <c r="B38" s="323"/>
      <c r="C38" s="107"/>
      <c r="D38" s="323"/>
      <c r="E38" s="323"/>
      <c r="F38" s="323"/>
      <c r="G38" s="106"/>
      <c r="H38" s="107"/>
      <c r="I38" s="320"/>
      <c r="J38" s="321"/>
      <c r="K38" s="336"/>
      <c r="L38" s="107"/>
      <c r="M38" s="337"/>
      <c r="N38" s="337"/>
      <c r="O38" s="337"/>
      <c r="P38" s="337"/>
      <c r="Q38" s="337"/>
      <c r="R38" s="337"/>
      <c r="S38" s="338"/>
      <c r="T38" s="339"/>
    </row>
    <row r="39" ht="13.5" customHeight="1">
      <c r="A39" s="317"/>
      <c r="B39" s="323"/>
      <c r="C39" s="107"/>
      <c r="D39" s="323"/>
      <c r="E39" s="323"/>
      <c r="F39" s="323"/>
      <c r="G39" s="106"/>
      <c r="H39" s="107"/>
      <c r="I39" s="320"/>
      <c r="J39" s="321"/>
      <c r="K39" s="336"/>
      <c r="L39" s="107"/>
      <c r="M39" s="337"/>
      <c r="N39" s="337"/>
      <c r="O39" s="337"/>
      <c r="P39" s="337"/>
      <c r="Q39" s="337"/>
      <c r="R39" s="337"/>
      <c r="S39" s="338"/>
      <c r="T39" s="339"/>
    </row>
    <row r="40" ht="13.5" customHeight="1">
      <c r="A40" s="317"/>
      <c r="B40" s="323"/>
      <c r="C40" s="107"/>
      <c r="D40" s="323"/>
      <c r="E40" s="323"/>
      <c r="F40" s="323"/>
      <c r="G40" s="106"/>
      <c r="H40" s="107"/>
      <c r="I40" s="320"/>
      <c r="J40" s="321"/>
      <c r="K40" s="336"/>
      <c r="L40" s="107"/>
      <c r="M40" s="337"/>
      <c r="N40" s="337"/>
      <c r="O40" s="337"/>
      <c r="P40" s="337"/>
      <c r="Q40" s="337"/>
      <c r="R40" s="337"/>
      <c r="S40" s="338"/>
      <c r="T40" s="339"/>
    </row>
    <row r="41" ht="13.5" customHeight="1">
      <c r="A41" s="317"/>
      <c r="B41" s="323"/>
      <c r="C41" s="107"/>
      <c r="D41" s="323"/>
      <c r="E41" s="323"/>
      <c r="F41" s="323"/>
      <c r="G41" s="106"/>
      <c r="H41" s="107"/>
      <c r="I41" s="320"/>
      <c r="J41" s="321"/>
      <c r="K41" s="336"/>
      <c r="L41" s="107"/>
      <c r="M41" s="337"/>
      <c r="N41" s="337"/>
      <c r="O41" s="337"/>
      <c r="P41" s="337"/>
      <c r="Q41" s="337"/>
      <c r="R41" s="337"/>
      <c r="S41" s="338"/>
      <c r="T41" s="339"/>
    </row>
    <row r="42" ht="13.5" customHeight="1">
      <c r="A42" s="317"/>
      <c r="B42" s="323"/>
      <c r="C42" s="107"/>
      <c r="D42" s="323"/>
      <c r="E42" s="323"/>
      <c r="F42" s="323"/>
      <c r="G42" s="106"/>
      <c r="H42" s="107"/>
      <c r="I42" s="320"/>
      <c r="J42" s="321"/>
      <c r="K42" s="336"/>
      <c r="L42" s="107"/>
      <c r="M42" s="337"/>
      <c r="N42" s="337"/>
      <c r="O42" s="337"/>
      <c r="P42" s="337"/>
      <c r="Q42" s="337"/>
      <c r="R42" s="337"/>
      <c r="S42" s="338"/>
      <c r="T42" s="339"/>
    </row>
    <row r="43" ht="13.5" customHeight="1">
      <c r="A43" s="317"/>
      <c r="B43" s="323"/>
      <c r="C43" s="107"/>
      <c r="D43" s="323"/>
      <c r="E43" s="323"/>
      <c r="F43" s="323"/>
      <c r="G43" s="106"/>
      <c r="H43" s="107"/>
      <c r="I43" s="320"/>
      <c r="J43" s="321"/>
      <c r="K43" s="336"/>
      <c r="L43" s="107"/>
      <c r="M43" s="337"/>
      <c r="N43" s="337"/>
      <c r="O43" s="337"/>
      <c r="P43" s="337"/>
      <c r="Q43" s="337"/>
      <c r="R43" s="337"/>
      <c r="S43" s="338"/>
      <c r="T43" s="339"/>
    </row>
    <row r="44" ht="13.5" customHeight="1">
      <c r="A44" s="317"/>
      <c r="B44" s="323"/>
      <c r="C44" s="107"/>
      <c r="D44" s="323"/>
      <c r="E44" s="323"/>
      <c r="F44" s="323"/>
      <c r="G44" s="106"/>
      <c r="H44" s="107"/>
      <c r="I44" s="320"/>
      <c r="J44" s="321"/>
      <c r="K44" s="336"/>
      <c r="L44" s="107"/>
      <c r="M44" s="337"/>
      <c r="N44" s="337"/>
      <c r="O44" s="337"/>
      <c r="P44" s="337"/>
      <c r="Q44" s="337"/>
      <c r="R44" s="337"/>
      <c r="S44" s="338"/>
      <c r="T44" s="339"/>
    </row>
    <row r="45" ht="13.5" customHeight="1">
      <c r="A45" s="317"/>
      <c r="B45" s="323"/>
      <c r="C45" s="107"/>
      <c r="D45" s="323"/>
      <c r="E45" s="323"/>
      <c r="F45" s="323"/>
      <c r="G45" s="106"/>
      <c r="H45" s="107"/>
      <c r="I45" s="320"/>
      <c r="J45" s="321"/>
      <c r="K45" s="336"/>
      <c r="L45" s="107"/>
      <c r="M45" s="337"/>
      <c r="N45" s="337"/>
      <c r="O45" s="337"/>
      <c r="P45" s="337"/>
      <c r="Q45" s="337"/>
      <c r="R45" s="337"/>
      <c r="S45" s="338"/>
      <c r="T45" s="339"/>
    </row>
    <row r="46" ht="13.5" customHeight="1">
      <c r="A46" s="317"/>
      <c r="B46" s="323"/>
      <c r="C46" s="107"/>
      <c r="D46" s="323"/>
      <c r="E46" s="323"/>
      <c r="F46" s="323"/>
      <c r="G46" s="106"/>
      <c r="H46" s="107"/>
      <c r="I46" s="320"/>
      <c r="J46" s="321"/>
      <c r="K46" s="336"/>
      <c r="L46" s="107"/>
      <c r="M46" s="337"/>
      <c r="N46" s="337"/>
      <c r="O46" s="337"/>
      <c r="P46" s="337"/>
      <c r="Q46" s="337"/>
      <c r="R46" s="337"/>
      <c r="S46" s="338"/>
      <c r="T46" s="339"/>
    </row>
    <row r="47" ht="13.5" customHeight="1">
      <c r="A47" s="317"/>
      <c r="B47" s="323"/>
      <c r="C47" s="107"/>
      <c r="D47" s="323"/>
      <c r="E47" s="323"/>
      <c r="F47" s="323"/>
      <c r="G47" s="106"/>
      <c r="H47" s="107"/>
      <c r="I47" s="320"/>
      <c r="J47" s="321"/>
      <c r="K47" s="336"/>
      <c r="L47" s="107"/>
      <c r="M47" s="337"/>
      <c r="N47" s="337"/>
      <c r="O47" s="337"/>
      <c r="P47" s="337"/>
      <c r="Q47" s="337"/>
      <c r="R47" s="337"/>
      <c r="S47" s="338"/>
      <c r="T47" s="339"/>
    </row>
    <row r="48" ht="13.5" customHeight="1">
      <c r="A48" s="317"/>
      <c r="B48" s="323"/>
      <c r="C48" s="107"/>
      <c r="D48" s="323"/>
      <c r="E48" s="323"/>
      <c r="F48" s="323"/>
      <c r="G48" s="106"/>
      <c r="H48" s="107"/>
      <c r="I48" s="320"/>
      <c r="J48" s="321"/>
      <c r="K48" s="336"/>
      <c r="L48" s="107"/>
      <c r="M48" s="337"/>
      <c r="N48" s="337"/>
      <c r="O48" s="337"/>
      <c r="P48" s="337"/>
      <c r="Q48" s="337"/>
      <c r="R48" s="337"/>
      <c r="S48" s="338"/>
      <c r="T48" s="339"/>
    </row>
    <row r="49" ht="13.5" customHeight="1">
      <c r="A49" s="317"/>
      <c r="B49" s="323"/>
      <c r="C49" s="107"/>
      <c r="D49" s="323"/>
      <c r="E49" s="323"/>
      <c r="F49" s="323"/>
      <c r="G49" s="106"/>
      <c r="H49" s="107"/>
      <c r="I49" s="320"/>
      <c r="J49" s="321"/>
      <c r="K49" s="336"/>
      <c r="L49" s="107"/>
      <c r="M49" s="337"/>
      <c r="N49" s="337"/>
      <c r="O49" s="337"/>
      <c r="P49" s="337"/>
      <c r="Q49" s="337"/>
      <c r="R49" s="337"/>
      <c r="S49" s="338"/>
      <c r="T49" s="339"/>
    </row>
    <row r="50" ht="13.5" customHeight="1">
      <c r="A50" s="317"/>
      <c r="B50" s="323"/>
      <c r="C50" s="107"/>
      <c r="D50" s="323"/>
      <c r="E50" s="323"/>
      <c r="F50" s="323"/>
      <c r="G50" s="106"/>
      <c r="H50" s="107"/>
      <c r="I50" s="320"/>
      <c r="J50" s="341"/>
      <c r="K50" s="336"/>
      <c r="L50" s="107"/>
      <c r="M50" s="337"/>
      <c r="N50" s="337"/>
      <c r="O50" s="337"/>
      <c r="P50" s="337"/>
      <c r="Q50" s="337"/>
      <c r="R50" s="337"/>
      <c r="S50" s="338"/>
      <c r="T50" s="339"/>
    </row>
    <row r="51" ht="13.5" customHeight="1">
      <c r="A51" s="317"/>
      <c r="B51" s="323"/>
      <c r="C51" s="107"/>
      <c r="D51" s="323"/>
      <c r="E51" s="323"/>
      <c r="F51" s="323"/>
      <c r="G51" s="106"/>
      <c r="H51" s="107"/>
      <c r="I51" s="320"/>
      <c r="J51" s="321"/>
      <c r="K51" s="336"/>
      <c r="L51" s="107"/>
      <c r="M51" s="337"/>
      <c r="N51" s="337"/>
      <c r="O51" s="337"/>
      <c r="P51" s="337"/>
      <c r="Q51" s="337"/>
      <c r="R51" s="337"/>
      <c r="S51" s="338"/>
      <c r="T51" s="339"/>
    </row>
    <row r="52" ht="13.5" customHeight="1">
      <c r="A52" s="317"/>
      <c r="B52" s="323"/>
      <c r="C52" s="107"/>
      <c r="D52" s="323"/>
      <c r="E52" s="323"/>
      <c r="F52" s="323"/>
      <c r="G52" s="106"/>
      <c r="H52" s="107"/>
      <c r="I52" s="320"/>
      <c r="J52" s="321"/>
      <c r="K52" s="336"/>
      <c r="L52" s="107"/>
      <c r="M52" s="338"/>
      <c r="N52" s="338"/>
      <c r="O52" s="338"/>
      <c r="P52" s="338"/>
      <c r="Q52" s="338"/>
      <c r="R52" s="338"/>
      <c r="S52" s="338"/>
      <c r="T52" s="339"/>
    </row>
    <row r="53" ht="13.5" customHeight="1">
      <c r="A53" s="317"/>
      <c r="B53" s="323"/>
      <c r="C53" s="107"/>
      <c r="D53" s="323"/>
      <c r="E53" s="323"/>
      <c r="F53" s="323"/>
      <c r="G53" s="106"/>
      <c r="H53" s="107"/>
      <c r="I53" s="320"/>
      <c r="J53" s="321"/>
      <c r="K53" s="336"/>
      <c r="L53" s="107"/>
      <c r="M53" s="338"/>
      <c r="N53" s="338"/>
      <c r="O53" s="338"/>
      <c r="P53" s="338"/>
      <c r="Q53" s="338"/>
      <c r="R53" s="338"/>
      <c r="S53" s="338"/>
      <c r="T53" s="339"/>
    </row>
    <row r="54" ht="15.75" customHeight="1">
      <c r="A54" s="317"/>
      <c r="B54" s="323"/>
      <c r="C54" s="107"/>
      <c r="D54" s="323"/>
      <c r="E54" s="323"/>
      <c r="F54" s="323"/>
      <c r="G54" s="106"/>
      <c r="H54" s="107"/>
      <c r="I54" s="320"/>
      <c r="J54" s="321"/>
      <c r="K54" s="336"/>
      <c r="L54" s="107"/>
      <c r="M54" s="338"/>
      <c r="N54" s="338"/>
      <c r="O54" s="338"/>
      <c r="P54" s="338"/>
      <c r="Q54" s="338"/>
      <c r="R54" s="338"/>
      <c r="S54" s="338"/>
      <c r="T54" s="339"/>
    </row>
    <row r="55" ht="15.75" customHeight="1">
      <c r="A55" s="317"/>
      <c r="B55" s="323"/>
      <c r="C55" s="107"/>
      <c r="D55" s="323"/>
      <c r="E55" s="323"/>
      <c r="F55" s="323"/>
      <c r="G55" s="106"/>
      <c r="H55" s="107"/>
      <c r="I55" s="320"/>
      <c r="J55" s="321"/>
      <c r="K55" s="336"/>
      <c r="L55" s="107"/>
      <c r="M55" s="338"/>
      <c r="N55" s="338"/>
      <c r="O55" s="338"/>
      <c r="P55" s="338"/>
      <c r="Q55" s="338"/>
      <c r="R55" s="338"/>
      <c r="S55" s="338"/>
      <c r="T55" s="339"/>
    </row>
    <row r="56" ht="15.75" customHeight="1">
      <c r="A56" s="317"/>
      <c r="B56" s="323"/>
      <c r="C56" s="107"/>
      <c r="D56" s="323"/>
      <c r="E56" s="323"/>
      <c r="F56" s="323"/>
      <c r="G56" s="106"/>
      <c r="H56" s="107"/>
      <c r="I56" s="320"/>
      <c r="J56" s="321"/>
      <c r="K56" s="336"/>
      <c r="L56" s="107"/>
      <c r="M56" s="338"/>
      <c r="N56" s="338"/>
      <c r="O56" s="338"/>
      <c r="P56" s="338"/>
      <c r="Q56" s="338"/>
      <c r="R56" s="338"/>
      <c r="S56" s="338"/>
      <c r="T56" s="339"/>
    </row>
    <row r="57" ht="15.75" customHeight="1">
      <c r="A57" s="317"/>
      <c r="B57" s="323"/>
      <c r="C57" s="107"/>
      <c r="D57" s="323"/>
      <c r="E57" s="323"/>
      <c r="F57" s="323"/>
      <c r="G57" s="106"/>
      <c r="H57" s="107"/>
      <c r="I57" s="320"/>
      <c r="J57" s="321"/>
      <c r="K57" s="336"/>
      <c r="L57" s="107"/>
      <c r="M57" s="338"/>
      <c r="N57" s="338"/>
      <c r="O57" s="338"/>
      <c r="P57" s="338"/>
      <c r="Q57" s="338"/>
      <c r="R57" s="338"/>
      <c r="S57" s="338"/>
      <c r="T57" s="339"/>
    </row>
    <row r="58" ht="15.75" customHeight="1">
      <c r="A58" s="317"/>
      <c r="B58" s="323"/>
      <c r="C58" s="107"/>
      <c r="D58" s="323"/>
      <c r="E58" s="323"/>
      <c r="F58" s="323"/>
      <c r="G58" s="106"/>
      <c r="H58" s="107"/>
      <c r="I58" s="320"/>
      <c r="J58" s="321"/>
      <c r="K58" s="336"/>
      <c r="L58" s="107"/>
      <c r="M58" s="338"/>
      <c r="N58" s="338"/>
      <c r="O58" s="338"/>
      <c r="P58" s="338"/>
      <c r="Q58" s="338"/>
      <c r="R58" s="338"/>
      <c r="S58" s="338"/>
      <c r="T58" s="339"/>
    </row>
    <row r="59" ht="15.75" customHeight="1">
      <c r="A59" s="317"/>
      <c r="B59" s="323"/>
      <c r="C59" s="107"/>
      <c r="D59" s="323"/>
      <c r="E59" s="323"/>
      <c r="F59" s="323"/>
      <c r="G59" s="106"/>
      <c r="H59" s="107"/>
      <c r="I59" s="320"/>
      <c r="J59" s="321"/>
      <c r="K59" s="336"/>
      <c r="L59" s="107"/>
      <c r="M59" s="338"/>
      <c r="N59" s="338"/>
      <c r="O59" s="338"/>
      <c r="P59" s="338"/>
      <c r="Q59" s="338"/>
      <c r="R59" s="338"/>
      <c r="S59" s="338"/>
      <c r="T59" s="339"/>
    </row>
    <row r="60" ht="15.75" customHeight="1">
      <c r="A60" s="317"/>
      <c r="B60" s="323"/>
      <c r="C60" s="107"/>
      <c r="D60" s="323"/>
      <c r="E60" s="323"/>
      <c r="F60" s="323"/>
      <c r="G60" s="106"/>
      <c r="H60" s="107"/>
      <c r="I60" s="320"/>
      <c r="J60" s="321"/>
      <c r="K60" s="336"/>
      <c r="L60" s="107"/>
      <c r="M60" s="338"/>
      <c r="N60" s="338"/>
      <c r="O60" s="338"/>
      <c r="P60" s="338"/>
      <c r="Q60" s="338"/>
      <c r="R60" s="338"/>
      <c r="S60" s="338"/>
      <c r="T60" s="339"/>
    </row>
    <row r="61" ht="15.75" customHeight="1">
      <c r="A61" s="317"/>
      <c r="B61" s="323"/>
      <c r="C61" s="107"/>
      <c r="D61" s="323"/>
      <c r="E61" s="323"/>
      <c r="F61" s="323"/>
      <c r="G61" s="106"/>
      <c r="H61" s="107"/>
      <c r="I61" s="320"/>
      <c r="J61" s="321"/>
      <c r="K61" s="336"/>
      <c r="L61" s="107"/>
      <c r="M61" s="338"/>
      <c r="N61" s="338"/>
      <c r="O61" s="338"/>
      <c r="P61" s="338"/>
      <c r="Q61" s="338"/>
      <c r="R61" s="338"/>
      <c r="S61" s="338"/>
      <c r="T61" s="339"/>
    </row>
    <row r="62" ht="15.75" customHeight="1">
      <c r="A62" s="342"/>
      <c r="B62" s="343"/>
      <c r="C62" s="256"/>
      <c r="D62" s="343"/>
      <c r="E62" s="343"/>
      <c r="F62" s="343"/>
      <c r="G62" s="257"/>
      <c r="H62" s="256"/>
      <c r="I62" s="344"/>
      <c r="K62" s="345"/>
      <c r="L62" s="256"/>
      <c r="M62" s="346"/>
      <c r="N62" s="346"/>
      <c r="O62" s="346"/>
      <c r="P62" s="346"/>
      <c r="Q62" s="346"/>
      <c r="R62" s="346"/>
      <c r="S62" s="346"/>
      <c r="T62" s="347"/>
    </row>
    <row r="63" ht="15.75" customHeight="1">
      <c r="A63" s="263">
        <f>SUM(A5:A62)</f>
        <v>0</v>
      </c>
      <c r="D63" s="263">
        <f>SUM(D5:D62)</f>
        <v>0</v>
      </c>
      <c r="E63" s="263"/>
    </row>
    <row r="64" ht="15.75" customHeight="1">
      <c r="D64" s="190"/>
      <c r="E64" s="190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>
      <c r="S79" s="190"/>
      <c r="T79" s="190"/>
    </row>
    <row r="80" ht="15.75" customHeight="1">
      <c r="K80" s="190"/>
      <c r="S80" s="190"/>
      <c r="T80" s="190"/>
    </row>
    <row r="81" ht="15.75" customHeight="1">
      <c r="K81" s="190"/>
      <c r="S81" s="190"/>
      <c r="T81" s="190"/>
    </row>
    <row r="82" ht="15.75" customHeight="1">
      <c r="K82" s="190"/>
      <c r="S82" s="190"/>
      <c r="T82" s="190"/>
    </row>
    <row r="83" ht="15.75" customHeight="1">
      <c r="K83" s="190"/>
      <c r="L83" s="190"/>
      <c r="M83" s="190"/>
      <c r="N83" s="190"/>
      <c r="O83" s="190"/>
      <c r="P83" s="190"/>
      <c r="Q83" s="190"/>
      <c r="R83" s="190"/>
      <c r="S83" s="190"/>
      <c r="T83" s="190"/>
    </row>
    <row r="84" ht="15.75" customHeight="1">
      <c r="K84" s="190"/>
      <c r="L84" s="190"/>
      <c r="M84" s="190"/>
      <c r="N84" s="190"/>
      <c r="O84" s="190"/>
      <c r="P84" s="190"/>
      <c r="Q84" s="190"/>
      <c r="R84" s="190"/>
      <c r="S84" s="190"/>
      <c r="T84" s="190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5">
    <mergeCell ref="F56:H56"/>
    <mergeCell ref="F57:H57"/>
    <mergeCell ref="B52:C52"/>
    <mergeCell ref="F52:H52"/>
    <mergeCell ref="B53:C53"/>
    <mergeCell ref="F53:H53"/>
    <mergeCell ref="B54:C54"/>
    <mergeCell ref="F54:H54"/>
    <mergeCell ref="F55:H55"/>
    <mergeCell ref="F59:H59"/>
    <mergeCell ref="F60:H60"/>
    <mergeCell ref="B55:C55"/>
    <mergeCell ref="B56:C56"/>
    <mergeCell ref="B57:C57"/>
    <mergeCell ref="B58:C58"/>
    <mergeCell ref="F58:H58"/>
    <mergeCell ref="B59:C59"/>
    <mergeCell ref="B60:C60"/>
    <mergeCell ref="F17:H17"/>
    <mergeCell ref="F18:H18"/>
    <mergeCell ref="B14:C14"/>
    <mergeCell ref="B15:C15"/>
    <mergeCell ref="F15:H15"/>
    <mergeCell ref="B16:C16"/>
    <mergeCell ref="F16:H16"/>
    <mergeCell ref="B17:C17"/>
    <mergeCell ref="B18:C18"/>
    <mergeCell ref="B20:C20"/>
    <mergeCell ref="F20:H20"/>
    <mergeCell ref="B21:C21"/>
    <mergeCell ref="F21:H21"/>
    <mergeCell ref="B22:C22"/>
    <mergeCell ref="F22:H22"/>
    <mergeCell ref="F23:H23"/>
    <mergeCell ref="B23:C23"/>
    <mergeCell ref="B24:C24"/>
    <mergeCell ref="B25:C25"/>
    <mergeCell ref="B26:C26"/>
    <mergeCell ref="B27:C27"/>
    <mergeCell ref="B28:C28"/>
    <mergeCell ref="B29:C29"/>
    <mergeCell ref="F24:H24"/>
    <mergeCell ref="F25:H25"/>
    <mergeCell ref="F26:H26"/>
    <mergeCell ref="F27:H27"/>
    <mergeCell ref="F28:H28"/>
    <mergeCell ref="F29:H29"/>
    <mergeCell ref="F30:H30"/>
    <mergeCell ref="B30:C30"/>
    <mergeCell ref="B31:C31"/>
    <mergeCell ref="B32:C32"/>
    <mergeCell ref="B33:C33"/>
    <mergeCell ref="B34:C34"/>
    <mergeCell ref="B35:C35"/>
    <mergeCell ref="B36:C36"/>
    <mergeCell ref="B61:C61"/>
    <mergeCell ref="F61:H61"/>
    <mergeCell ref="B62:C62"/>
    <mergeCell ref="F62:H62"/>
    <mergeCell ref="F13:H13"/>
    <mergeCell ref="F14:H14"/>
    <mergeCell ref="B10:C10"/>
    <mergeCell ref="B11:C11"/>
    <mergeCell ref="K11:L11"/>
    <mergeCell ref="B12:C12"/>
    <mergeCell ref="F12:H12"/>
    <mergeCell ref="B13:C13"/>
    <mergeCell ref="K14:L14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55:L55"/>
    <mergeCell ref="K56:L56"/>
    <mergeCell ref="K57:L57"/>
    <mergeCell ref="K58:L58"/>
    <mergeCell ref="K59:L59"/>
    <mergeCell ref="K60:L60"/>
    <mergeCell ref="K61:L61"/>
    <mergeCell ref="K62:L62"/>
    <mergeCell ref="K48:L48"/>
    <mergeCell ref="K49:L49"/>
    <mergeCell ref="K50:L50"/>
    <mergeCell ref="K51:L51"/>
    <mergeCell ref="K52:L52"/>
    <mergeCell ref="K53:L53"/>
    <mergeCell ref="K54:L54"/>
    <mergeCell ref="K4:L4"/>
    <mergeCell ref="M4:N4"/>
    <mergeCell ref="K5:L6"/>
    <mergeCell ref="M5:N6"/>
    <mergeCell ref="O5:P6"/>
    <mergeCell ref="B2:I2"/>
    <mergeCell ref="J2:N2"/>
    <mergeCell ref="O2:P2"/>
    <mergeCell ref="Q2:T2"/>
    <mergeCell ref="M3:N3"/>
    <mergeCell ref="F4:H4"/>
    <mergeCell ref="O4:P4"/>
    <mergeCell ref="F7:H7"/>
    <mergeCell ref="F8:H8"/>
    <mergeCell ref="F11:H11"/>
    <mergeCell ref="B4:C4"/>
    <mergeCell ref="B5:C5"/>
    <mergeCell ref="F5:H5"/>
    <mergeCell ref="B6:C6"/>
    <mergeCell ref="F6:H6"/>
    <mergeCell ref="B7:C7"/>
    <mergeCell ref="B8:C8"/>
    <mergeCell ref="B9:C9"/>
    <mergeCell ref="F9:H9"/>
    <mergeCell ref="K9:M9"/>
    <mergeCell ref="F10:H10"/>
    <mergeCell ref="N10:O10"/>
    <mergeCell ref="P10:Q10"/>
    <mergeCell ref="S10:T10"/>
    <mergeCell ref="B19:C19"/>
    <mergeCell ref="F19:H19"/>
    <mergeCell ref="K12:L12"/>
    <mergeCell ref="K13:L13"/>
    <mergeCell ref="K15:L15"/>
    <mergeCell ref="K16:L16"/>
    <mergeCell ref="K17:L17"/>
    <mergeCell ref="K18:L18"/>
    <mergeCell ref="K19:L19"/>
    <mergeCell ref="F38:H38"/>
    <mergeCell ref="F39:H39"/>
    <mergeCell ref="F31:H31"/>
    <mergeCell ref="F32:H32"/>
    <mergeCell ref="F33:H33"/>
    <mergeCell ref="F34:H34"/>
    <mergeCell ref="F35:H35"/>
    <mergeCell ref="F36:H36"/>
    <mergeCell ref="F37:H37"/>
    <mergeCell ref="F41:H41"/>
    <mergeCell ref="F42:H42"/>
    <mergeCell ref="B37:C37"/>
    <mergeCell ref="B38:C38"/>
    <mergeCell ref="B39:C39"/>
    <mergeCell ref="B40:C40"/>
    <mergeCell ref="F40:H40"/>
    <mergeCell ref="B41:C41"/>
    <mergeCell ref="B42:C42"/>
    <mergeCell ref="F47:H47"/>
    <mergeCell ref="F48:H48"/>
    <mergeCell ref="B43:C43"/>
    <mergeCell ref="F43:H43"/>
    <mergeCell ref="B44:C44"/>
    <mergeCell ref="F44:H44"/>
    <mergeCell ref="B45:C45"/>
    <mergeCell ref="F45:H45"/>
    <mergeCell ref="F46:H46"/>
    <mergeCell ref="F50:H50"/>
    <mergeCell ref="F51:H51"/>
    <mergeCell ref="B46:C46"/>
    <mergeCell ref="B47:C47"/>
    <mergeCell ref="B48:C48"/>
    <mergeCell ref="B49:C49"/>
    <mergeCell ref="F49:H49"/>
    <mergeCell ref="B50:C50"/>
    <mergeCell ref="B51:C51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3" width="5.57"/>
    <col customWidth="1" min="4" max="5" width="4.43"/>
    <col customWidth="1" min="6" max="8" width="5.57"/>
    <col customWidth="1" min="9" max="10" width="4.43"/>
    <col customWidth="1" min="11" max="22" width="5.57"/>
  </cols>
  <sheetData>
    <row r="1">
      <c r="A1" s="180" t="s">
        <v>26</v>
      </c>
      <c r="B1" s="313" t="s">
        <v>52</v>
      </c>
      <c r="C1" s="182"/>
      <c r="D1" s="182"/>
      <c r="E1" s="182"/>
      <c r="F1" s="182"/>
      <c r="G1" s="182"/>
      <c r="H1" s="182"/>
      <c r="I1" s="183"/>
      <c r="J1" s="314"/>
      <c r="N1" s="51"/>
      <c r="O1" s="315" t="s">
        <v>28</v>
      </c>
      <c r="P1" s="182"/>
      <c r="Q1" s="186"/>
      <c r="R1" s="182"/>
      <c r="S1" s="182"/>
      <c r="T1" s="182"/>
      <c r="U1" s="182"/>
      <c r="V1" s="187"/>
    </row>
    <row r="2">
      <c r="I2" s="190"/>
      <c r="J2" s="190"/>
      <c r="M2" s="59" t="s">
        <v>35</v>
      </c>
      <c r="N2" s="6"/>
    </row>
    <row r="3">
      <c r="A3" s="316" t="s">
        <v>32</v>
      </c>
      <c r="B3" s="59" t="s">
        <v>33</v>
      </c>
      <c r="C3" s="6"/>
      <c r="D3" s="316" t="s">
        <v>3</v>
      </c>
      <c r="E3" s="316" t="s">
        <v>4</v>
      </c>
      <c r="F3" s="59" t="s">
        <v>34</v>
      </c>
      <c r="G3" s="5"/>
      <c r="H3" s="6"/>
      <c r="I3" s="100"/>
      <c r="K3" s="59" t="s">
        <v>37</v>
      </c>
      <c r="L3" s="6"/>
      <c r="M3" s="59" t="s">
        <v>38</v>
      </c>
      <c r="N3" s="6"/>
      <c r="O3" s="59" t="s">
        <v>9</v>
      </c>
      <c r="P3" s="6"/>
    </row>
    <row r="4" ht="15.0" customHeight="1">
      <c r="A4" s="317"/>
      <c r="B4" s="319"/>
      <c r="C4" s="202"/>
      <c r="D4" s="318"/>
      <c r="E4" s="318"/>
      <c r="F4" s="319"/>
      <c r="G4" s="209"/>
      <c r="H4" s="202"/>
      <c r="I4" s="348"/>
      <c r="J4" s="321"/>
      <c r="K4" s="322">
        <f>SUM(A67,P9)</f>
        <v>0</v>
      </c>
      <c r="L4" s="13"/>
      <c r="M4" s="322">
        <f>SUM(D4:D66,M11:V66)</f>
        <v>0</v>
      </c>
      <c r="N4" s="13"/>
      <c r="O4" s="322">
        <f>COUNT(A4:A66,M11:V66)</f>
        <v>0</v>
      </c>
      <c r="P4" s="13"/>
      <c r="Q4" s="190"/>
    </row>
    <row r="5" ht="15.0" customHeight="1">
      <c r="A5" s="317"/>
      <c r="B5" s="323"/>
      <c r="C5" s="107"/>
      <c r="D5" s="323"/>
      <c r="E5" s="323"/>
      <c r="F5" s="323"/>
      <c r="G5" s="106"/>
      <c r="H5" s="107"/>
      <c r="I5" s="348"/>
      <c r="J5" s="321"/>
      <c r="K5" s="63"/>
      <c r="L5" s="65"/>
      <c r="M5" s="63"/>
      <c r="N5" s="65"/>
      <c r="O5" s="63"/>
      <c r="P5" s="65"/>
      <c r="Q5" s="324"/>
    </row>
    <row r="6" ht="15.0" customHeight="1">
      <c r="A6" s="317"/>
      <c r="B6" s="323"/>
      <c r="C6" s="107"/>
      <c r="D6" s="323"/>
      <c r="E6" s="323"/>
      <c r="F6" s="323"/>
      <c r="G6" s="106"/>
      <c r="H6" s="107"/>
      <c r="I6" s="348"/>
      <c r="J6" s="321"/>
      <c r="Q6" s="324"/>
    </row>
    <row r="7" ht="15.0" customHeight="1">
      <c r="A7" s="317"/>
      <c r="B7" s="323"/>
      <c r="C7" s="107"/>
      <c r="D7" s="323"/>
      <c r="E7" s="323"/>
      <c r="F7" s="323"/>
      <c r="G7" s="106"/>
      <c r="H7" s="107"/>
      <c r="I7" s="348"/>
      <c r="J7" s="321"/>
      <c r="L7" s="349"/>
    </row>
    <row r="8" ht="15.0" customHeight="1">
      <c r="A8" s="317"/>
      <c r="B8" s="323"/>
      <c r="C8" s="107"/>
      <c r="D8" s="323"/>
      <c r="E8" s="323"/>
      <c r="F8" s="323"/>
      <c r="G8" s="106"/>
      <c r="H8" s="107"/>
      <c r="I8" s="348"/>
      <c r="J8" s="321"/>
      <c r="K8" s="60" t="s">
        <v>39</v>
      </c>
      <c r="L8" s="5"/>
      <c r="M8" s="6"/>
      <c r="N8" s="326"/>
      <c r="O8" s="101"/>
      <c r="P8" s="101"/>
      <c r="Q8" s="101"/>
      <c r="R8" s="101"/>
    </row>
    <row r="9" ht="15.0" customHeight="1">
      <c r="A9" s="317"/>
      <c r="B9" s="323"/>
      <c r="C9" s="107"/>
      <c r="D9" s="323"/>
      <c r="E9" s="323"/>
      <c r="F9" s="323"/>
      <c r="G9" s="106"/>
      <c r="H9" s="107"/>
      <c r="I9" s="348"/>
      <c r="J9" s="321"/>
      <c r="K9" s="327"/>
      <c r="N9" s="230" t="s">
        <v>41</v>
      </c>
      <c r="O9" s="229"/>
      <c r="P9" s="350">
        <f>COUNT(M11:V66)</f>
        <v>0</v>
      </c>
      <c r="Q9" s="229"/>
      <c r="R9" s="351" t="s">
        <v>42</v>
      </c>
      <c r="S9" s="350">
        <f>SUM(M11:V66)</f>
        <v>0</v>
      </c>
      <c r="T9" s="226"/>
      <c r="U9" s="226"/>
      <c r="V9" s="229"/>
    </row>
    <row r="10" ht="15.0" customHeight="1">
      <c r="A10" s="317"/>
      <c r="B10" s="323"/>
      <c r="C10" s="107"/>
      <c r="D10" s="323"/>
      <c r="E10" s="323"/>
      <c r="F10" s="323"/>
      <c r="G10" s="106"/>
      <c r="H10" s="107"/>
      <c r="I10" s="348"/>
      <c r="J10" s="321"/>
      <c r="K10" s="230" t="s">
        <v>33</v>
      </c>
      <c r="L10" s="229"/>
      <c r="M10" s="231"/>
      <c r="N10" s="232"/>
      <c r="O10" s="232"/>
      <c r="P10" s="232"/>
      <c r="Q10" s="232"/>
      <c r="R10" s="232"/>
      <c r="S10" s="232"/>
      <c r="T10" s="232"/>
      <c r="U10" s="232"/>
      <c r="V10" s="332"/>
    </row>
    <row r="11" ht="15.0" customHeight="1">
      <c r="A11" s="317"/>
      <c r="B11" s="323"/>
      <c r="C11" s="107"/>
      <c r="D11" s="323"/>
      <c r="E11" s="323"/>
      <c r="F11" s="323"/>
      <c r="G11" s="106"/>
      <c r="H11" s="107"/>
      <c r="I11" s="348"/>
      <c r="J11" s="321"/>
      <c r="K11" s="352"/>
      <c r="L11" s="353"/>
      <c r="M11" s="334"/>
      <c r="N11" s="334"/>
      <c r="O11" s="334"/>
      <c r="P11" s="334"/>
      <c r="Q11" s="334"/>
      <c r="R11" s="334"/>
      <c r="S11" s="334"/>
      <c r="T11" s="334"/>
      <c r="U11" s="334"/>
      <c r="V11" s="335"/>
    </row>
    <row r="12" ht="15.0" customHeight="1">
      <c r="A12" s="317"/>
      <c r="B12" s="323"/>
      <c r="C12" s="107"/>
      <c r="D12" s="323"/>
      <c r="E12" s="323"/>
      <c r="F12" s="323"/>
      <c r="G12" s="106"/>
      <c r="H12" s="107"/>
      <c r="I12" s="348"/>
      <c r="J12" s="321"/>
      <c r="K12" s="336"/>
      <c r="L12" s="107"/>
      <c r="M12" s="337"/>
      <c r="N12" s="337"/>
      <c r="O12" s="337"/>
      <c r="P12" s="337"/>
      <c r="Q12" s="337"/>
      <c r="R12" s="337"/>
      <c r="S12" s="337"/>
      <c r="T12" s="337"/>
      <c r="U12" s="338"/>
      <c r="V12" s="339"/>
    </row>
    <row r="13" ht="15.0" customHeight="1">
      <c r="A13" s="317"/>
      <c r="B13" s="323"/>
      <c r="C13" s="107"/>
      <c r="D13" s="323"/>
      <c r="E13" s="323"/>
      <c r="F13" s="323"/>
      <c r="G13" s="106"/>
      <c r="H13" s="107"/>
      <c r="I13" s="348"/>
      <c r="J13" s="321"/>
      <c r="K13" s="336"/>
      <c r="L13" s="107"/>
      <c r="M13" s="337"/>
      <c r="N13" s="337"/>
      <c r="O13" s="337"/>
      <c r="P13" s="337"/>
      <c r="Q13" s="337"/>
      <c r="R13" s="337"/>
      <c r="S13" s="337"/>
      <c r="T13" s="337"/>
      <c r="U13" s="338"/>
      <c r="V13" s="339"/>
    </row>
    <row r="14" ht="15.0" customHeight="1">
      <c r="A14" s="317"/>
      <c r="B14" s="323"/>
      <c r="C14" s="107"/>
      <c r="D14" s="323"/>
      <c r="E14" s="323"/>
      <c r="F14" s="323"/>
      <c r="G14" s="106"/>
      <c r="H14" s="107"/>
      <c r="I14" s="348"/>
      <c r="J14" s="321"/>
      <c r="K14" s="340"/>
      <c r="L14" s="107"/>
      <c r="M14" s="337"/>
      <c r="N14" s="337"/>
      <c r="O14" s="337"/>
      <c r="P14" s="337"/>
      <c r="Q14" s="337"/>
      <c r="R14" s="337"/>
      <c r="S14" s="337"/>
      <c r="T14" s="337"/>
      <c r="U14" s="338"/>
      <c r="V14" s="339"/>
    </row>
    <row r="15" ht="15.0" customHeight="1">
      <c r="A15" s="317"/>
      <c r="B15" s="323"/>
      <c r="C15" s="107"/>
      <c r="D15" s="323"/>
      <c r="E15" s="323"/>
      <c r="F15" s="323"/>
      <c r="G15" s="106"/>
      <c r="H15" s="107"/>
      <c r="I15" s="348"/>
      <c r="J15" s="321"/>
      <c r="K15" s="340"/>
      <c r="L15" s="107"/>
      <c r="M15" s="337"/>
      <c r="N15" s="337"/>
      <c r="O15" s="337"/>
      <c r="P15" s="337"/>
      <c r="Q15" s="337"/>
      <c r="R15" s="337"/>
      <c r="S15" s="337"/>
      <c r="T15" s="337"/>
      <c r="U15" s="338"/>
      <c r="V15" s="339"/>
    </row>
    <row r="16" ht="15.0" customHeight="1">
      <c r="A16" s="317"/>
      <c r="B16" s="323"/>
      <c r="C16" s="107"/>
      <c r="D16" s="323"/>
      <c r="E16" s="323"/>
      <c r="F16" s="323"/>
      <c r="G16" s="106"/>
      <c r="H16" s="107"/>
      <c r="I16" s="348"/>
      <c r="J16" s="321"/>
      <c r="K16" s="340"/>
      <c r="L16" s="107"/>
      <c r="M16" s="337"/>
      <c r="N16" s="337"/>
      <c r="O16" s="337"/>
      <c r="P16" s="337"/>
      <c r="Q16" s="337"/>
      <c r="R16" s="337"/>
      <c r="S16" s="337"/>
      <c r="T16" s="337"/>
      <c r="U16" s="338"/>
      <c r="V16" s="339"/>
    </row>
    <row r="17">
      <c r="A17" s="317"/>
      <c r="B17" s="323"/>
      <c r="C17" s="107"/>
      <c r="D17" s="323"/>
      <c r="E17" s="323"/>
      <c r="F17" s="323"/>
      <c r="G17" s="106"/>
      <c r="H17" s="107"/>
      <c r="I17" s="320"/>
      <c r="J17" s="321"/>
      <c r="K17" s="340"/>
      <c r="L17" s="107"/>
      <c r="M17" s="337"/>
      <c r="N17" s="337"/>
      <c r="O17" s="337"/>
      <c r="P17" s="337"/>
      <c r="Q17" s="337"/>
      <c r="R17" s="337"/>
      <c r="S17" s="337"/>
      <c r="T17" s="337"/>
      <c r="U17" s="338"/>
      <c r="V17" s="339"/>
    </row>
    <row r="18">
      <c r="A18" s="317"/>
      <c r="B18" s="323"/>
      <c r="C18" s="107"/>
      <c r="D18" s="323"/>
      <c r="E18" s="323"/>
      <c r="F18" s="323"/>
      <c r="G18" s="106"/>
      <c r="H18" s="107"/>
      <c r="I18" s="320"/>
      <c r="J18" s="321"/>
      <c r="K18" s="340"/>
      <c r="L18" s="107"/>
      <c r="M18" s="337"/>
      <c r="N18" s="337"/>
      <c r="O18" s="337"/>
      <c r="P18" s="337"/>
      <c r="Q18" s="337"/>
      <c r="R18" s="337"/>
      <c r="S18" s="337"/>
      <c r="T18" s="337"/>
      <c r="U18" s="338"/>
      <c r="V18" s="339"/>
    </row>
    <row r="19">
      <c r="A19" s="317"/>
      <c r="B19" s="323"/>
      <c r="C19" s="107"/>
      <c r="D19" s="323"/>
      <c r="E19" s="323"/>
      <c r="F19" s="323"/>
      <c r="G19" s="106"/>
      <c r="H19" s="107"/>
      <c r="I19" s="320"/>
      <c r="J19" s="321"/>
      <c r="K19" s="336"/>
      <c r="L19" s="107"/>
      <c r="M19" s="337"/>
      <c r="N19" s="337"/>
      <c r="O19" s="337"/>
      <c r="P19" s="337"/>
      <c r="Q19" s="337"/>
      <c r="R19" s="337"/>
      <c r="S19" s="337"/>
      <c r="T19" s="337"/>
      <c r="U19" s="337"/>
      <c r="V19" s="339"/>
    </row>
    <row r="20">
      <c r="A20" s="317"/>
      <c r="B20" s="323"/>
      <c r="C20" s="107"/>
      <c r="D20" s="323"/>
      <c r="E20" s="323"/>
      <c r="F20" s="323"/>
      <c r="G20" s="106"/>
      <c r="H20" s="107"/>
      <c r="I20" s="320"/>
      <c r="J20" s="321"/>
      <c r="K20" s="336"/>
      <c r="L20" s="107"/>
      <c r="M20" s="337"/>
      <c r="N20" s="337"/>
      <c r="O20" s="337"/>
      <c r="P20" s="337"/>
      <c r="Q20" s="337"/>
      <c r="R20" s="337"/>
      <c r="S20" s="337"/>
      <c r="T20" s="337"/>
      <c r="U20" s="337"/>
      <c r="V20" s="339"/>
    </row>
    <row r="21" ht="15.75" customHeight="1">
      <c r="A21" s="317"/>
      <c r="B21" s="323"/>
      <c r="C21" s="107"/>
      <c r="D21" s="323"/>
      <c r="E21" s="323"/>
      <c r="F21" s="323"/>
      <c r="G21" s="106"/>
      <c r="H21" s="107"/>
      <c r="I21" s="320"/>
      <c r="J21" s="321"/>
      <c r="K21" s="336"/>
      <c r="L21" s="107"/>
      <c r="M21" s="337"/>
      <c r="N21" s="337"/>
      <c r="O21" s="337"/>
      <c r="P21" s="337"/>
      <c r="Q21" s="337"/>
      <c r="R21" s="337"/>
      <c r="S21" s="337"/>
      <c r="T21" s="337"/>
      <c r="U21" s="338"/>
      <c r="V21" s="339"/>
    </row>
    <row r="22" ht="15.75" customHeight="1">
      <c r="A22" s="317"/>
      <c r="B22" s="323"/>
      <c r="C22" s="107"/>
      <c r="D22" s="323"/>
      <c r="E22" s="323"/>
      <c r="F22" s="323"/>
      <c r="G22" s="106"/>
      <c r="H22" s="107"/>
      <c r="I22" s="320"/>
      <c r="J22" s="321"/>
      <c r="K22" s="336"/>
      <c r="L22" s="107"/>
      <c r="M22" s="337"/>
      <c r="N22" s="337"/>
      <c r="O22" s="337"/>
      <c r="P22" s="337"/>
      <c r="Q22" s="337"/>
      <c r="R22" s="337"/>
      <c r="S22" s="337"/>
      <c r="T22" s="337"/>
      <c r="U22" s="338"/>
      <c r="V22" s="339"/>
    </row>
    <row r="23" ht="15.75" customHeight="1">
      <c r="A23" s="317"/>
      <c r="B23" s="323"/>
      <c r="C23" s="107"/>
      <c r="D23" s="323"/>
      <c r="E23" s="323"/>
      <c r="F23" s="323"/>
      <c r="G23" s="106"/>
      <c r="H23" s="107"/>
      <c r="I23" s="320"/>
      <c r="J23" s="321"/>
      <c r="K23" s="336"/>
      <c r="L23" s="107"/>
      <c r="M23" s="337"/>
      <c r="N23" s="337"/>
      <c r="O23" s="337"/>
      <c r="P23" s="337"/>
      <c r="Q23" s="337"/>
      <c r="R23" s="337"/>
      <c r="S23" s="337"/>
      <c r="T23" s="337"/>
      <c r="U23" s="338"/>
      <c r="V23" s="339"/>
    </row>
    <row r="24" ht="15.75" customHeight="1">
      <c r="A24" s="317"/>
      <c r="B24" s="323"/>
      <c r="C24" s="107"/>
      <c r="D24" s="323"/>
      <c r="E24" s="323"/>
      <c r="F24" s="323"/>
      <c r="G24" s="106"/>
      <c r="H24" s="107"/>
      <c r="I24" s="320"/>
      <c r="J24" s="321"/>
      <c r="K24" s="336"/>
      <c r="L24" s="107"/>
      <c r="M24" s="337"/>
      <c r="N24" s="337"/>
      <c r="O24" s="337"/>
      <c r="P24" s="337"/>
      <c r="Q24" s="337"/>
      <c r="R24" s="337"/>
      <c r="S24" s="337"/>
      <c r="T24" s="337"/>
      <c r="U24" s="338"/>
      <c r="V24" s="339"/>
    </row>
    <row r="25" ht="15.75" customHeight="1">
      <c r="A25" s="317"/>
      <c r="B25" s="323"/>
      <c r="C25" s="107"/>
      <c r="D25" s="323"/>
      <c r="E25" s="323"/>
      <c r="F25" s="323"/>
      <c r="G25" s="106"/>
      <c r="H25" s="107"/>
      <c r="I25" s="320"/>
      <c r="J25" s="321"/>
      <c r="K25" s="336"/>
      <c r="L25" s="107"/>
      <c r="M25" s="337"/>
      <c r="N25" s="337"/>
      <c r="O25" s="337"/>
      <c r="P25" s="337"/>
      <c r="Q25" s="337"/>
      <c r="R25" s="337"/>
      <c r="S25" s="337"/>
      <c r="T25" s="337"/>
      <c r="U25" s="338"/>
      <c r="V25" s="339"/>
    </row>
    <row r="26" ht="15.75" customHeight="1">
      <c r="A26" s="317"/>
      <c r="B26" s="323"/>
      <c r="C26" s="107"/>
      <c r="D26" s="323"/>
      <c r="E26" s="323"/>
      <c r="F26" s="323"/>
      <c r="G26" s="106"/>
      <c r="H26" s="107"/>
      <c r="I26" s="320"/>
      <c r="J26" s="321"/>
      <c r="K26" s="336"/>
      <c r="L26" s="107"/>
      <c r="M26" s="337"/>
      <c r="N26" s="337"/>
      <c r="O26" s="337"/>
      <c r="P26" s="337"/>
      <c r="Q26" s="337"/>
      <c r="R26" s="337"/>
      <c r="S26" s="337"/>
      <c r="T26" s="337"/>
      <c r="U26" s="338"/>
      <c r="V26" s="339"/>
    </row>
    <row r="27" ht="15.75" customHeight="1">
      <c r="A27" s="317"/>
      <c r="B27" s="323"/>
      <c r="C27" s="107"/>
      <c r="D27" s="323"/>
      <c r="E27" s="323"/>
      <c r="F27" s="323"/>
      <c r="G27" s="106"/>
      <c r="H27" s="107"/>
      <c r="I27" s="320"/>
      <c r="J27" s="321"/>
      <c r="K27" s="336"/>
      <c r="L27" s="107"/>
      <c r="M27" s="337"/>
      <c r="N27" s="337"/>
      <c r="O27" s="337"/>
      <c r="P27" s="337"/>
      <c r="Q27" s="337"/>
      <c r="R27" s="337"/>
      <c r="S27" s="337"/>
      <c r="T27" s="337"/>
      <c r="U27" s="338"/>
      <c r="V27" s="339"/>
    </row>
    <row r="28" ht="15.75" customHeight="1">
      <c r="A28" s="317"/>
      <c r="B28" s="323"/>
      <c r="C28" s="107"/>
      <c r="D28" s="323"/>
      <c r="E28" s="323"/>
      <c r="F28" s="323"/>
      <c r="G28" s="106"/>
      <c r="H28" s="107"/>
      <c r="I28" s="320"/>
      <c r="J28" s="321"/>
      <c r="K28" s="336"/>
      <c r="L28" s="107"/>
      <c r="M28" s="337"/>
      <c r="N28" s="337"/>
      <c r="O28" s="337"/>
      <c r="P28" s="337"/>
      <c r="Q28" s="337"/>
      <c r="R28" s="337"/>
      <c r="S28" s="337"/>
      <c r="T28" s="337"/>
      <c r="U28" s="338"/>
      <c r="V28" s="339"/>
    </row>
    <row r="29" ht="15.75" customHeight="1">
      <c r="A29" s="317"/>
      <c r="B29" s="323"/>
      <c r="C29" s="107"/>
      <c r="D29" s="323"/>
      <c r="E29" s="323"/>
      <c r="F29" s="323"/>
      <c r="G29" s="106"/>
      <c r="H29" s="107"/>
      <c r="I29" s="320"/>
      <c r="J29" s="321"/>
      <c r="K29" s="336"/>
      <c r="L29" s="107"/>
      <c r="M29" s="337"/>
      <c r="N29" s="337"/>
      <c r="O29" s="337"/>
      <c r="P29" s="337"/>
      <c r="Q29" s="337"/>
      <c r="R29" s="337"/>
      <c r="S29" s="337"/>
      <c r="T29" s="337"/>
      <c r="U29" s="338"/>
      <c r="V29" s="339"/>
    </row>
    <row r="30" ht="15.75" customHeight="1">
      <c r="A30" s="317"/>
      <c r="B30" s="323"/>
      <c r="C30" s="107"/>
      <c r="D30" s="323"/>
      <c r="E30" s="323"/>
      <c r="F30" s="323"/>
      <c r="G30" s="106"/>
      <c r="H30" s="107"/>
      <c r="I30" s="320"/>
      <c r="J30" s="321"/>
      <c r="K30" s="336"/>
      <c r="L30" s="107"/>
      <c r="M30" s="337"/>
      <c r="N30" s="337"/>
      <c r="O30" s="337"/>
      <c r="P30" s="337"/>
      <c r="Q30" s="337"/>
      <c r="R30" s="337"/>
      <c r="S30" s="337"/>
      <c r="T30" s="337"/>
      <c r="U30" s="338"/>
      <c r="V30" s="339"/>
    </row>
    <row r="31" ht="15.75" customHeight="1">
      <c r="A31" s="317"/>
      <c r="B31" s="323"/>
      <c r="C31" s="107"/>
      <c r="D31" s="323"/>
      <c r="E31" s="323"/>
      <c r="F31" s="323"/>
      <c r="G31" s="106"/>
      <c r="H31" s="107"/>
      <c r="I31" s="320"/>
      <c r="J31" s="321"/>
      <c r="K31" s="336"/>
      <c r="L31" s="107"/>
      <c r="M31" s="337"/>
      <c r="N31" s="337"/>
      <c r="O31" s="337"/>
      <c r="P31" s="337"/>
      <c r="Q31" s="337"/>
      <c r="R31" s="337"/>
      <c r="S31" s="337"/>
      <c r="T31" s="337"/>
      <c r="U31" s="338"/>
      <c r="V31" s="339"/>
    </row>
    <row r="32" ht="15.75" customHeight="1">
      <c r="A32" s="317"/>
      <c r="B32" s="323"/>
      <c r="C32" s="107"/>
      <c r="D32" s="323"/>
      <c r="E32" s="323"/>
      <c r="F32" s="323"/>
      <c r="G32" s="106"/>
      <c r="H32" s="107"/>
      <c r="I32" s="320"/>
      <c r="J32" s="321"/>
      <c r="K32" s="336"/>
      <c r="L32" s="107"/>
      <c r="M32" s="337"/>
      <c r="N32" s="337"/>
      <c r="O32" s="337"/>
      <c r="P32" s="337"/>
      <c r="Q32" s="337"/>
      <c r="R32" s="337"/>
      <c r="S32" s="337"/>
      <c r="T32" s="337"/>
      <c r="U32" s="338"/>
      <c r="V32" s="339"/>
    </row>
    <row r="33" ht="15.75" customHeight="1">
      <c r="A33" s="317"/>
      <c r="B33" s="323"/>
      <c r="C33" s="107"/>
      <c r="D33" s="323"/>
      <c r="E33" s="323"/>
      <c r="F33" s="323"/>
      <c r="G33" s="106"/>
      <c r="H33" s="107"/>
      <c r="I33" s="320"/>
      <c r="J33" s="321"/>
      <c r="K33" s="336"/>
      <c r="L33" s="107"/>
      <c r="M33" s="337"/>
      <c r="N33" s="337"/>
      <c r="O33" s="337"/>
      <c r="P33" s="337"/>
      <c r="Q33" s="337"/>
      <c r="R33" s="337"/>
      <c r="S33" s="337"/>
      <c r="T33" s="337"/>
      <c r="U33" s="338"/>
      <c r="V33" s="339"/>
    </row>
    <row r="34" ht="15.75" customHeight="1">
      <c r="A34" s="317"/>
      <c r="B34" s="323"/>
      <c r="C34" s="107"/>
      <c r="D34" s="323"/>
      <c r="E34" s="323"/>
      <c r="F34" s="323"/>
      <c r="G34" s="106"/>
      <c r="H34" s="107"/>
      <c r="I34" s="320"/>
      <c r="J34" s="321"/>
      <c r="K34" s="336"/>
      <c r="L34" s="107"/>
      <c r="M34" s="337"/>
      <c r="N34" s="337"/>
      <c r="O34" s="337"/>
      <c r="P34" s="337"/>
      <c r="Q34" s="337"/>
      <c r="R34" s="337"/>
      <c r="S34" s="337"/>
      <c r="T34" s="337"/>
      <c r="U34" s="338"/>
      <c r="V34" s="339"/>
    </row>
    <row r="35" ht="15.75" customHeight="1">
      <c r="A35" s="317"/>
      <c r="B35" s="323"/>
      <c r="C35" s="107"/>
      <c r="D35" s="323"/>
      <c r="E35" s="323"/>
      <c r="F35" s="323"/>
      <c r="G35" s="106"/>
      <c r="H35" s="107"/>
      <c r="I35" s="320"/>
      <c r="J35" s="321"/>
      <c r="K35" s="336"/>
      <c r="L35" s="107"/>
      <c r="M35" s="337"/>
      <c r="N35" s="337"/>
      <c r="O35" s="337"/>
      <c r="P35" s="337"/>
      <c r="Q35" s="337"/>
      <c r="R35" s="337"/>
      <c r="S35" s="337"/>
      <c r="T35" s="337"/>
      <c r="U35" s="338"/>
      <c r="V35" s="339"/>
    </row>
    <row r="36" ht="15.75" customHeight="1">
      <c r="A36" s="317"/>
      <c r="B36" s="323"/>
      <c r="C36" s="107"/>
      <c r="D36" s="323"/>
      <c r="E36" s="323"/>
      <c r="F36" s="323"/>
      <c r="G36" s="106"/>
      <c r="H36" s="107"/>
      <c r="I36" s="320"/>
      <c r="J36" s="321"/>
      <c r="K36" s="336"/>
      <c r="L36" s="107"/>
      <c r="M36" s="337"/>
      <c r="N36" s="337"/>
      <c r="O36" s="337"/>
      <c r="P36" s="337"/>
      <c r="Q36" s="337"/>
      <c r="R36" s="337"/>
      <c r="S36" s="337"/>
      <c r="T36" s="337"/>
      <c r="U36" s="338"/>
      <c r="V36" s="339"/>
    </row>
    <row r="37" ht="15.75" customHeight="1">
      <c r="A37" s="317"/>
      <c r="B37" s="323"/>
      <c r="C37" s="107"/>
      <c r="D37" s="323"/>
      <c r="E37" s="323"/>
      <c r="F37" s="323"/>
      <c r="G37" s="106"/>
      <c r="H37" s="107"/>
      <c r="I37" s="320"/>
      <c r="J37" s="321"/>
      <c r="K37" s="336"/>
      <c r="L37" s="107"/>
      <c r="M37" s="337"/>
      <c r="N37" s="337"/>
      <c r="O37" s="337"/>
      <c r="P37" s="337"/>
      <c r="Q37" s="337"/>
      <c r="R37" s="337"/>
      <c r="S37" s="337"/>
      <c r="T37" s="337"/>
      <c r="U37" s="337"/>
      <c r="V37" s="339"/>
    </row>
    <row r="38" ht="15.75" customHeight="1">
      <c r="A38" s="317"/>
      <c r="B38" s="323"/>
      <c r="C38" s="107"/>
      <c r="D38" s="323"/>
      <c r="E38" s="323"/>
      <c r="F38" s="323"/>
      <c r="G38" s="106"/>
      <c r="H38" s="107"/>
      <c r="I38" s="320"/>
      <c r="J38" s="321"/>
      <c r="K38" s="336"/>
      <c r="L38" s="107"/>
      <c r="M38" s="337"/>
      <c r="N38" s="337"/>
      <c r="O38" s="337"/>
      <c r="P38" s="337"/>
      <c r="Q38" s="337"/>
      <c r="R38" s="337"/>
      <c r="S38" s="337"/>
      <c r="T38" s="337"/>
      <c r="U38" s="337"/>
      <c r="V38" s="339"/>
    </row>
    <row r="39" ht="15.75" customHeight="1">
      <c r="A39" s="317"/>
      <c r="B39" s="323"/>
      <c r="C39" s="107"/>
      <c r="D39" s="323"/>
      <c r="E39" s="323"/>
      <c r="F39" s="323"/>
      <c r="G39" s="106"/>
      <c r="H39" s="107"/>
      <c r="I39" s="320"/>
      <c r="J39" s="321"/>
      <c r="K39" s="336"/>
      <c r="L39" s="107"/>
      <c r="M39" s="337"/>
      <c r="N39" s="337"/>
      <c r="O39" s="337"/>
      <c r="P39" s="337"/>
      <c r="Q39" s="337"/>
      <c r="R39" s="337"/>
      <c r="S39" s="337"/>
      <c r="T39" s="337"/>
      <c r="U39" s="337"/>
      <c r="V39" s="339"/>
    </row>
    <row r="40" ht="15.75" customHeight="1">
      <c r="A40" s="317"/>
      <c r="B40" s="323"/>
      <c r="C40" s="107"/>
      <c r="D40" s="323"/>
      <c r="E40" s="323"/>
      <c r="F40" s="323"/>
      <c r="G40" s="106"/>
      <c r="H40" s="107"/>
      <c r="I40" s="320"/>
      <c r="J40" s="321"/>
      <c r="K40" s="336"/>
      <c r="L40" s="107"/>
      <c r="M40" s="337"/>
      <c r="N40" s="337"/>
      <c r="O40" s="337"/>
      <c r="P40" s="337"/>
      <c r="Q40" s="337"/>
      <c r="R40" s="337"/>
      <c r="S40" s="337"/>
      <c r="T40" s="337"/>
      <c r="U40" s="338"/>
      <c r="V40" s="339"/>
    </row>
    <row r="41" ht="15.75" customHeight="1">
      <c r="A41" s="317"/>
      <c r="B41" s="323"/>
      <c r="C41" s="107"/>
      <c r="D41" s="323"/>
      <c r="E41" s="323"/>
      <c r="F41" s="323"/>
      <c r="G41" s="106"/>
      <c r="H41" s="107"/>
      <c r="I41" s="320"/>
      <c r="J41" s="321"/>
      <c r="K41" s="336"/>
      <c r="L41" s="107"/>
      <c r="M41" s="337"/>
      <c r="N41" s="337"/>
      <c r="O41" s="337"/>
      <c r="P41" s="337"/>
      <c r="Q41" s="337"/>
      <c r="R41" s="337"/>
      <c r="S41" s="337"/>
      <c r="T41" s="337"/>
      <c r="U41" s="338"/>
      <c r="V41" s="339"/>
    </row>
    <row r="42" ht="15.75" customHeight="1">
      <c r="A42" s="317"/>
      <c r="B42" s="323"/>
      <c r="C42" s="107"/>
      <c r="D42" s="323"/>
      <c r="E42" s="323"/>
      <c r="F42" s="323"/>
      <c r="G42" s="106"/>
      <c r="H42" s="107"/>
      <c r="I42" s="320"/>
      <c r="J42" s="321"/>
      <c r="K42" s="336"/>
      <c r="L42" s="107"/>
      <c r="M42" s="337"/>
      <c r="N42" s="337"/>
      <c r="O42" s="337"/>
      <c r="P42" s="337"/>
      <c r="Q42" s="337"/>
      <c r="R42" s="337"/>
      <c r="S42" s="337"/>
      <c r="T42" s="337"/>
      <c r="U42" s="338"/>
      <c r="V42" s="339"/>
    </row>
    <row r="43" ht="15.75" customHeight="1">
      <c r="A43" s="317"/>
      <c r="B43" s="323"/>
      <c r="C43" s="107"/>
      <c r="D43" s="323"/>
      <c r="E43" s="323"/>
      <c r="F43" s="323"/>
      <c r="G43" s="106"/>
      <c r="H43" s="107"/>
      <c r="I43" s="320"/>
      <c r="J43" s="321"/>
      <c r="K43" s="336"/>
      <c r="L43" s="107"/>
      <c r="M43" s="337"/>
      <c r="N43" s="337"/>
      <c r="O43" s="337"/>
      <c r="P43" s="337"/>
      <c r="Q43" s="337"/>
      <c r="R43" s="337"/>
      <c r="S43" s="337"/>
      <c r="T43" s="337"/>
      <c r="U43" s="338"/>
      <c r="V43" s="339"/>
    </row>
    <row r="44" ht="15.75" customHeight="1">
      <c r="A44" s="317"/>
      <c r="B44" s="323"/>
      <c r="C44" s="107"/>
      <c r="D44" s="323"/>
      <c r="E44" s="323"/>
      <c r="F44" s="323"/>
      <c r="G44" s="106"/>
      <c r="H44" s="107"/>
      <c r="I44" s="320"/>
      <c r="J44" s="321"/>
      <c r="K44" s="336"/>
      <c r="L44" s="107"/>
      <c r="M44" s="337"/>
      <c r="N44" s="337"/>
      <c r="O44" s="337"/>
      <c r="P44" s="337"/>
      <c r="Q44" s="337"/>
      <c r="R44" s="337"/>
      <c r="S44" s="337"/>
      <c r="T44" s="337"/>
      <c r="U44" s="338"/>
      <c r="V44" s="339"/>
    </row>
    <row r="45" ht="15.75" customHeight="1">
      <c r="A45" s="317"/>
      <c r="B45" s="323"/>
      <c r="C45" s="107"/>
      <c r="D45" s="323"/>
      <c r="E45" s="323"/>
      <c r="F45" s="323"/>
      <c r="G45" s="106"/>
      <c r="H45" s="107"/>
      <c r="I45" s="320"/>
      <c r="J45" s="321"/>
      <c r="K45" s="336"/>
      <c r="L45" s="107"/>
      <c r="M45" s="337"/>
      <c r="N45" s="337"/>
      <c r="O45" s="337"/>
      <c r="P45" s="337"/>
      <c r="Q45" s="337"/>
      <c r="R45" s="337"/>
      <c r="S45" s="337"/>
      <c r="T45" s="337"/>
      <c r="U45" s="338"/>
      <c r="V45" s="339"/>
    </row>
    <row r="46" ht="15.75" customHeight="1">
      <c r="A46" s="317"/>
      <c r="B46" s="323"/>
      <c r="C46" s="107"/>
      <c r="D46" s="323"/>
      <c r="E46" s="323"/>
      <c r="F46" s="323"/>
      <c r="G46" s="106"/>
      <c r="H46" s="107"/>
      <c r="I46" s="320"/>
      <c r="J46" s="321"/>
      <c r="K46" s="336"/>
      <c r="L46" s="107"/>
      <c r="M46" s="337"/>
      <c r="N46" s="337"/>
      <c r="O46" s="337"/>
      <c r="P46" s="337"/>
      <c r="Q46" s="337"/>
      <c r="R46" s="337"/>
      <c r="S46" s="337"/>
      <c r="T46" s="337"/>
      <c r="U46" s="338"/>
      <c r="V46" s="339"/>
    </row>
    <row r="47" ht="15.75" customHeight="1">
      <c r="A47" s="317"/>
      <c r="B47" s="323"/>
      <c r="C47" s="107"/>
      <c r="D47" s="323"/>
      <c r="E47" s="323"/>
      <c r="F47" s="323"/>
      <c r="G47" s="106"/>
      <c r="H47" s="107"/>
      <c r="I47" s="320"/>
      <c r="J47" s="321"/>
      <c r="K47" s="336"/>
      <c r="L47" s="107"/>
      <c r="M47" s="337"/>
      <c r="N47" s="337"/>
      <c r="O47" s="337"/>
      <c r="P47" s="337"/>
      <c r="Q47" s="337"/>
      <c r="R47" s="337"/>
      <c r="S47" s="337"/>
      <c r="T47" s="337"/>
      <c r="U47" s="338"/>
      <c r="V47" s="339"/>
    </row>
    <row r="48" ht="15.75" customHeight="1">
      <c r="A48" s="317"/>
      <c r="B48" s="323"/>
      <c r="C48" s="107"/>
      <c r="D48" s="323"/>
      <c r="E48" s="323"/>
      <c r="F48" s="323"/>
      <c r="G48" s="106"/>
      <c r="H48" s="107"/>
      <c r="I48" s="320"/>
      <c r="J48" s="321"/>
      <c r="K48" s="336"/>
      <c r="L48" s="107"/>
      <c r="M48" s="337"/>
      <c r="N48" s="337"/>
      <c r="O48" s="337"/>
      <c r="P48" s="337"/>
      <c r="Q48" s="337"/>
      <c r="R48" s="337"/>
      <c r="S48" s="337"/>
      <c r="T48" s="337"/>
      <c r="U48" s="338"/>
      <c r="V48" s="339"/>
    </row>
    <row r="49" ht="15.75" customHeight="1">
      <c r="A49" s="317"/>
      <c r="B49" s="323"/>
      <c r="C49" s="107"/>
      <c r="D49" s="323"/>
      <c r="E49" s="323"/>
      <c r="F49" s="323"/>
      <c r="G49" s="106"/>
      <c r="H49" s="107"/>
      <c r="I49" s="320"/>
      <c r="J49" s="341"/>
      <c r="K49" s="336"/>
      <c r="L49" s="107"/>
      <c r="M49" s="337"/>
      <c r="N49" s="337"/>
      <c r="O49" s="337"/>
      <c r="P49" s="337"/>
      <c r="Q49" s="337"/>
      <c r="R49" s="337"/>
      <c r="S49" s="337"/>
      <c r="T49" s="337"/>
      <c r="U49" s="338"/>
      <c r="V49" s="339"/>
    </row>
    <row r="50" ht="15.75" customHeight="1">
      <c r="A50" s="317"/>
      <c r="B50" s="323"/>
      <c r="C50" s="107"/>
      <c r="D50" s="323"/>
      <c r="E50" s="323"/>
      <c r="F50" s="323"/>
      <c r="G50" s="106"/>
      <c r="H50" s="107"/>
      <c r="I50" s="320"/>
      <c r="J50" s="321"/>
      <c r="K50" s="336"/>
      <c r="L50" s="107"/>
      <c r="M50" s="337"/>
      <c r="N50" s="337"/>
      <c r="O50" s="337"/>
      <c r="P50" s="337"/>
      <c r="Q50" s="337"/>
      <c r="R50" s="337"/>
      <c r="S50" s="337"/>
      <c r="T50" s="337"/>
      <c r="U50" s="338"/>
      <c r="V50" s="339"/>
    </row>
    <row r="51" ht="15.75" customHeight="1">
      <c r="A51" s="317"/>
      <c r="B51" s="323"/>
      <c r="C51" s="107"/>
      <c r="D51" s="323"/>
      <c r="E51" s="323"/>
      <c r="F51" s="323"/>
      <c r="G51" s="106"/>
      <c r="H51" s="107"/>
      <c r="I51" s="320"/>
      <c r="J51" s="321"/>
      <c r="K51" s="336"/>
      <c r="L51" s="107"/>
      <c r="M51" s="338"/>
      <c r="N51" s="338"/>
      <c r="O51" s="338"/>
      <c r="P51" s="338"/>
      <c r="Q51" s="338"/>
      <c r="R51" s="338"/>
      <c r="S51" s="338"/>
      <c r="T51" s="338"/>
      <c r="U51" s="338"/>
      <c r="V51" s="339"/>
    </row>
    <row r="52" ht="15.75" customHeight="1">
      <c r="A52" s="317"/>
      <c r="B52" s="323"/>
      <c r="C52" s="107"/>
      <c r="D52" s="323"/>
      <c r="E52" s="323"/>
      <c r="F52" s="323"/>
      <c r="G52" s="106"/>
      <c r="H52" s="107"/>
      <c r="I52" s="320"/>
      <c r="J52" s="321"/>
      <c r="K52" s="336"/>
      <c r="L52" s="107"/>
      <c r="M52" s="338"/>
      <c r="N52" s="338"/>
      <c r="O52" s="338"/>
      <c r="P52" s="338"/>
      <c r="Q52" s="338"/>
      <c r="R52" s="338"/>
      <c r="S52" s="338"/>
      <c r="T52" s="338"/>
      <c r="U52" s="338"/>
      <c r="V52" s="339"/>
    </row>
    <row r="53" ht="15.75" customHeight="1">
      <c r="A53" s="317"/>
      <c r="B53" s="323"/>
      <c r="C53" s="107"/>
      <c r="D53" s="323"/>
      <c r="E53" s="323"/>
      <c r="F53" s="323"/>
      <c r="G53" s="106"/>
      <c r="H53" s="107"/>
      <c r="I53" s="320"/>
      <c r="J53" s="321"/>
      <c r="K53" s="336"/>
      <c r="L53" s="107"/>
      <c r="M53" s="338"/>
      <c r="N53" s="338"/>
      <c r="O53" s="338"/>
      <c r="P53" s="338"/>
      <c r="Q53" s="338"/>
      <c r="R53" s="338"/>
      <c r="S53" s="338"/>
      <c r="T53" s="338"/>
      <c r="U53" s="338"/>
      <c r="V53" s="339"/>
    </row>
    <row r="54" ht="15.75" customHeight="1">
      <c r="A54" s="317"/>
      <c r="B54" s="323"/>
      <c r="C54" s="107"/>
      <c r="D54" s="323"/>
      <c r="E54" s="323"/>
      <c r="F54" s="323"/>
      <c r="G54" s="106"/>
      <c r="H54" s="107"/>
      <c r="I54" s="320"/>
      <c r="J54" s="321"/>
      <c r="K54" s="336"/>
      <c r="L54" s="107"/>
      <c r="M54" s="337"/>
      <c r="N54" s="337"/>
      <c r="O54" s="337"/>
      <c r="P54" s="338"/>
      <c r="Q54" s="338"/>
      <c r="R54" s="338"/>
      <c r="S54" s="338"/>
      <c r="T54" s="338"/>
      <c r="U54" s="338"/>
      <c r="V54" s="339"/>
    </row>
    <row r="55" ht="15.75" customHeight="1">
      <c r="A55" s="317"/>
      <c r="B55" s="323"/>
      <c r="C55" s="107"/>
      <c r="D55" s="323"/>
      <c r="E55" s="323"/>
      <c r="F55" s="323"/>
      <c r="G55" s="106"/>
      <c r="H55" s="107"/>
      <c r="I55" s="320"/>
      <c r="J55" s="321"/>
      <c r="K55" s="336"/>
      <c r="L55" s="107"/>
      <c r="M55" s="338"/>
      <c r="N55" s="338"/>
      <c r="O55" s="338"/>
      <c r="P55" s="338"/>
      <c r="Q55" s="338"/>
      <c r="R55" s="338"/>
      <c r="S55" s="338"/>
      <c r="T55" s="338"/>
      <c r="U55" s="338"/>
      <c r="V55" s="339"/>
    </row>
    <row r="56" ht="15.75" customHeight="1">
      <c r="A56" s="317"/>
      <c r="B56" s="323"/>
      <c r="C56" s="107"/>
      <c r="D56" s="323"/>
      <c r="E56" s="323"/>
      <c r="F56" s="323"/>
      <c r="G56" s="106"/>
      <c r="H56" s="107"/>
      <c r="I56" s="320"/>
      <c r="J56" s="321"/>
      <c r="K56" s="336"/>
      <c r="L56" s="107"/>
      <c r="M56" s="338"/>
      <c r="N56" s="338"/>
      <c r="O56" s="338"/>
      <c r="P56" s="338"/>
      <c r="Q56" s="338"/>
      <c r="R56" s="338"/>
      <c r="S56" s="338"/>
      <c r="T56" s="338"/>
      <c r="U56" s="338"/>
      <c r="V56" s="339"/>
    </row>
    <row r="57" ht="15.75" customHeight="1">
      <c r="A57" s="317"/>
      <c r="B57" s="323"/>
      <c r="C57" s="107"/>
      <c r="D57" s="323"/>
      <c r="E57" s="323"/>
      <c r="F57" s="323"/>
      <c r="G57" s="106"/>
      <c r="H57" s="107"/>
      <c r="I57" s="320"/>
      <c r="J57" s="321"/>
      <c r="K57" s="336"/>
      <c r="L57" s="107"/>
      <c r="M57" s="338"/>
      <c r="N57" s="338"/>
      <c r="O57" s="338"/>
      <c r="P57" s="338"/>
      <c r="Q57" s="338"/>
      <c r="R57" s="338"/>
      <c r="S57" s="338"/>
      <c r="T57" s="338"/>
      <c r="U57" s="338"/>
      <c r="V57" s="339"/>
    </row>
    <row r="58" ht="15.75" customHeight="1">
      <c r="A58" s="317"/>
      <c r="B58" s="323"/>
      <c r="C58" s="107"/>
      <c r="D58" s="323"/>
      <c r="E58" s="323"/>
      <c r="F58" s="323"/>
      <c r="G58" s="106"/>
      <c r="H58" s="107"/>
      <c r="I58" s="320"/>
      <c r="J58" s="321"/>
      <c r="K58" s="336"/>
      <c r="L58" s="107"/>
      <c r="M58" s="337"/>
      <c r="N58" s="337"/>
      <c r="O58" s="338"/>
      <c r="P58" s="338"/>
      <c r="Q58" s="338"/>
      <c r="R58" s="338"/>
      <c r="S58" s="338"/>
      <c r="T58" s="338"/>
      <c r="U58" s="338"/>
      <c r="V58" s="339"/>
    </row>
    <row r="59" ht="15.75" customHeight="1">
      <c r="A59" s="317"/>
      <c r="B59" s="323"/>
      <c r="C59" s="107"/>
      <c r="D59" s="323"/>
      <c r="E59" s="323"/>
      <c r="F59" s="323"/>
      <c r="G59" s="106"/>
      <c r="H59" s="107"/>
      <c r="I59" s="320"/>
      <c r="J59" s="321"/>
      <c r="K59" s="336"/>
      <c r="L59" s="107"/>
      <c r="M59" s="338"/>
      <c r="N59" s="338"/>
      <c r="O59" s="338"/>
      <c r="P59" s="338"/>
      <c r="Q59" s="338"/>
      <c r="R59" s="338"/>
      <c r="S59" s="338"/>
      <c r="T59" s="338"/>
      <c r="U59" s="338"/>
      <c r="V59" s="339"/>
    </row>
    <row r="60" ht="15.75" customHeight="1">
      <c r="A60" s="317"/>
      <c r="B60" s="323"/>
      <c r="C60" s="107"/>
      <c r="D60" s="323"/>
      <c r="E60" s="323"/>
      <c r="F60" s="323"/>
      <c r="G60" s="106"/>
      <c r="H60" s="107"/>
      <c r="I60" s="320"/>
      <c r="J60" s="321"/>
      <c r="K60" s="336"/>
      <c r="L60" s="107"/>
      <c r="M60" s="338"/>
      <c r="N60" s="338"/>
      <c r="O60" s="338"/>
      <c r="P60" s="338"/>
      <c r="Q60" s="338"/>
      <c r="R60" s="338"/>
      <c r="S60" s="338"/>
      <c r="T60" s="338"/>
      <c r="U60" s="338"/>
      <c r="V60" s="339"/>
    </row>
    <row r="61" ht="15.75" customHeight="1">
      <c r="A61" s="317"/>
      <c r="B61" s="323"/>
      <c r="C61" s="107"/>
      <c r="D61" s="323"/>
      <c r="E61" s="323"/>
      <c r="F61" s="323"/>
      <c r="G61" s="106"/>
      <c r="H61" s="107"/>
      <c r="I61" s="320"/>
      <c r="J61" s="321"/>
      <c r="K61" s="336"/>
      <c r="L61" s="107"/>
      <c r="M61" s="338"/>
      <c r="N61" s="338"/>
      <c r="O61" s="338"/>
      <c r="P61" s="338"/>
      <c r="Q61" s="338"/>
      <c r="R61" s="338"/>
      <c r="S61" s="338"/>
      <c r="T61" s="338"/>
      <c r="U61" s="338"/>
      <c r="V61" s="339"/>
    </row>
    <row r="62" ht="15.75" customHeight="1">
      <c r="A62" s="317"/>
      <c r="B62" s="323"/>
      <c r="C62" s="107"/>
      <c r="D62" s="323"/>
      <c r="E62" s="323"/>
      <c r="F62" s="323"/>
      <c r="G62" s="106"/>
      <c r="H62" s="107"/>
      <c r="I62" s="320"/>
      <c r="J62" s="321"/>
      <c r="K62" s="336"/>
      <c r="L62" s="107"/>
      <c r="M62" s="338"/>
      <c r="N62" s="338"/>
      <c r="O62" s="338"/>
      <c r="P62" s="338"/>
      <c r="Q62" s="338"/>
      <c r="R62" s="338"/>
      <c r="S62" s="338"/>
      <c r="T62" s="338"/>
      <c r="U62" s="338"/>
      <c r="V62" s="339"/>
    </row>
    <row r="63" ht="15.75" customHeight="1">
      <c r="A63" s="317"/>
      <c r="B63" s="323"/>
      <c r="C63" s="107"/>
      <c r="D63" s="323"/>
      <c r="E63" s="323"/>
      <c r="F63" s="323"/>
      <c r="G63" s="106"/>
      <c r="H63" s="107"/>
      <c r="I63" s="320"/>
      <c r="J63" s="321"/>
      <c r="K63" s="336"/>
      <c r="L63" s="107"/>
      <c r="M63" s="338"/>
      <c r="N63" s="338"/>
      <c r="O63" s="338"/>
      <c r="P63" s="338"/>
      <c r="Q63" s="338"/>
      <c r="R63" s="338"/>
      <c r="S63" s="338"/>
      <c r="T63" s="338"/>
      <c r="U63" s="338"/>
      <c r="V63" s="339"/>
    </row>
    <row r="64" ht="15.75" customHeight="1">
      <c r="A64" s="317"/>
      <c r="B64" s="323"/>
      <c r="C64" s="107"/>
      <c r="D64" s="323"/>
      <c r="E64" s="323"/>
      <c r="F64" s="323"/>
      <c r="G64" s="106"/>
      <c r="H64" s="107"/>
      <c r="I64" s="320"/>
      <c r="J64" s="321"/>
      <c r="K64" s="336"/>
      <c r="L64" s="107"/>
      <c r="M64" s="338"/>
      <c r="N64" s="338"/>
      <c r="O64" s="338"/>
      <c r="P64" s="338"/>
      <c r="Q64" s="338"/>
      <c r="R64" s="338"/>
      <c r="S64" s="338"/>
      <c r="T64" s="338"/>
      <c r="U64" s="338"/>
      <c r="V64" s="339"/>
    </row>
    <row r="65" ht="15.75" customHeight="1">
      <c r="A65" s="317"/>
      <c r="B65" s="323"/>
      <c r="C65" s="107"/>
      <c r="D65" s="323"/>
      <c r="E65" s="323"/>
      <c r="F65" s="323"/>
      <c r="G65" s="106"/>
      <c r="H65" s="107"/>
      <c r="I65" s="320"/>
      <c r="J65" s="321"/>
      <c r="K65" s="336"/>
      <c r="L65" s="107"/>
      <c r="M65" s="338"/>
      <c r="N65" s="338"/>
      <c r="O65" s="338"/>
      <c r="P65" s="338"/>
      <c r="Q65" s="338"/>
      <c r="R65" s="338"/>
      <c r="S65" s="338"/>
      <c r="T65" s="338"/>
      <c r="U65" s="338"/>
      <c r="V65" s="339"/>
    </row>
    <row r="66" ht="15.75" customHeight="1">
      <c r="A66" s="342"/>
      <c r="B66" s="343"/>
      <c r="C66" s="256"/>
      <c r="D66" s="343"/>
      <c r="E66" s="343"/>
      <c r="F66" s="343"/>
      <c r="G66" s="257"/>
      <c r="H66" s="256"/>
      <c r="I66" s="344"/>
      <c r="K66" s="345"/>
      <c r="L66" s="256"/>
      <c r="M66" s="346"/>
      <c r="N66" s="346"/>
      <c r="O66" s="346"/>
      <c r="P66" s="346"/>
      <c r="Q66" s="346"/>
      <c r="R66" s="346"/>
      <c r="S66" s="346"/>
      <c r="T66" s="346"/>
      <c r="U66" s="346"/>
      <c r="V66" s="347"/>
    </row>
    <row r="67" ht="15.75" customHeight="1">
      <c r="A67" s="263">
        <f>SUM(A4:A66)</f>
        <v>0</v>
      </c>
      <c r="D67" s="263">
        <f>SUM(D4:D66)</f>
        <v>0</v>
      </c>
      <c r="E67" s="263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0">
    <mergeCell ref="F55:H55"/>
    <mergeCell ref="F56:H56"/>
    <mergeCell ref="B51:C51"/>
    <mergeCell ref="F51:H51"/>
    <mergeCell ref="B52:C52"/>
    <mergeCell ref="F52:H52"/>
    <mergeCell ref="B53:C53"/>
    <mergeCell ref="F53:H53"/>
    <mergeCell ref="F54:H54"/>
    <mergeCell ref="F58:H58"/>
    <mergeCell ref="F59:H59"/>
    <mergeCell ref="B54:C54"/>
    <mergeCell ref="B55:C55"/>
    <mergeCell ref="B56:C56"/>
    <mergeCell ref="B57:C57"/>
    <mergeCell ref="F57:H57"/>
    <mergeCell ref="B58:C58"/>
    <mergeCell ref="B59:C59"/>
    <mergeCell ref="F64:H64"/>
    <mergeCell ref="F65:H65"/>
    <mergeCell ref="B60:C60"/>
    <mergeCell ref="F60:H60"/>
    <mergeCell ref="B61:C61"/>
    <mergeCell ref="F61:H61"/>
    <mergeCell ref="B62:C62"/>
    <mergeCell ref="F62:H62"/>
    <mergeCell ref="F63:H63"/>
    <mergeCell ref="F16:H16"/>
    <mergeCell ref="F17:H17"/>
    <mergeCell ref="B13:C13"/>
    <mergeCell ref="B14:C14"/>
    <mergeCell ref="F14:H14"/>
    <mergeCell ref="B15:C15"/>
    <mergeCell ref="F15:H15"/>
    <mergeCell ref="B16:C16"/>
    <mergeCell ref="B17:C17"/>
    <mergeCell ref="B19:C19"/>
    <mergeCell ref="F19:H19"/>
    <mergeCell ref="B20:C20"/>
    <mergeCell ref="F20:H20"/>
    <mergeCell ref="B21:C21"/>
    <mergeCell ref="F21:H21"/>
    <mergeCell ref="F22:H22"/>
    <mergeCell ref="B22:C22"/>
    <mergeCell ref="B23:C23"/>
    <mergeCell ref="B24:C24"/>
    <mergeCell ref="B25:C25"/>
    <mergeCell ref="B26:C26"/>
    <mergeCell ref="B27:C27"/>
    <mergeCell ref="B28:C28"/>
    <mergeCell ref="F23:H23"/>
    <mergeCell ref="F24:H24"/>
    <mergeCell ref="F25:H25"/>
    <mergeCell ref="F26:H26"/>
    <mergeCell ref="F27:H27"/>
    <mergeCell ref="F28:H28"/>
    <mergeCell ref="F29:H29"/>
    <mergeCell ref="B29:C29"/>
    <mergeCell ref="B30:C30"/>
    <mergeCell ref="B31:C31"/>
    <mergeCell ref="B32:C32"/>
    <mergeCell ref="B33:C33"/>
    <mergeCell ref="B34:C34"/>
    <mergeCell ref="B35:C35"/>
    <mergeCell ref="B63:C63"/>
    <mergeCell ref="B64:C64"/>
    <mergeCell ref="B65:C65"/>
    <mergeCell ref="B66:C66"/>
    <mergeCell ref="F66:H66"/>
    <mergeCell ref="F12:H12"/>
    <mergeCell ref="F13:H13"/>
    <mergeCell ref="B10:C10"/>
    <mergeCell ref="F10:H10"/>
    <mergeCell ref="K10:L10"/>
    <mergeCell ref="B11:C11"/>
    <mergeCell ref="F11:H11"/>
    <mergeCell ref="B12:C12"/>
    <mergeCell ref="K13:L13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61:L61"/>
    <mergeCell ref="K62:L62"/>
    <mergeCell ref="K63:L63"/>
    <mergeCell ref="K64:L64"/>
    <mergeCell ref="K65:L65"/>
    <mergeCell ref="K66:L66"/>
    <mergeCell ref="K54:L54"/>
    <mergeCell ref="K55:L55"/>
    <mergeCell ref="K56:L56"/>
    <mergeCell ref="K57:L57"/>
    <mergeCell ref="K58:L58"/>
    <mergeCell ref="K59:L59"/>
    <mergeCell ref="K60:L60"/>
    <mergeCell ref="K3:L3"/>
    <mergeCell ref="M3:N3"/>
    <mergeCell ref="K4:L5"/>
    <mergeCell ref="M4:N5"/>
    <mergeCell ref="O4:P5"/>
    <mergeCell ref="B1:I1"/>
    <mergeCell ref="J1:N1"/>
    <mergeCell ref="O1:P1"/>
    <mergeCell ref="Q1:V1"/>
    <mergeCell ref="M2:N2"/>
    <mergeCell ref="F3:H3"/>
    <mergeCell ref="O3:P3"/>
    <mergeCell ref="F6:H6"/>
    <mergeCell ref="F7:H7"/>
    <mergeCell ref="B8:C8"/>
    <mergeCell ref="F8:H8"/>
    <mergeCell ref="K8:M8"/>
    <mergeCell ref="B9:C9"/>
    <mergeCell ref="F9:H9"/>
    <mergeCell ref="N9:O9"/>
    <mergeCell ref="P9:Q9"/>
    <mergeCell ref="S9:V9"/>
    <mergeCell ref="B3:C3"/>
    <mergeCell ref="B4:C4"/>
    <mergeCell ref="F4:H4"/>
    <mergeCell ref="B5:C5"/>
    <mergeCell ref="F5:H5"/>
    <mergeCell ref="B6:C6"/>
    <mergeCell ref="B7:C7"/>
    <mergeCell ref="B18:C18"/>
    <mergeCell ref="F18:H18"/>
    <mergeCell ref="K11:L11"/>
    <mergeCell ref="K12:L12"/>
    <mergeCell ref="K14:L14"/>
    <mergeCell ref="K15:L15"/>
    <mergeCell ref="K16:L16"/>
    <mergeCell ref="K17:L17"/>
    <mergeCell ref="K18:L18"/>
    <mergeCell ref="F37:H37"/>
    <mergeCell ref="F38:H38"/>
    <mergeCell ref="F30:H30"/>
    <mergeCell ref="F31:H31"/>
    <mergeCell ref="F32:H32"/>
    <mergeCell ref="F33:H33"/>
    <mergeCell ref="F34:H34"/>
    <mergeCell ref="F35:H35"/>
    <mergeCell ref="F36:H36"/>
    <mergeCell ref="F40:H40"/>
    <mergeCell ref="F41:H41"/>
    <mergeCell ref="B36:C36"/>
    <mergeCell ref="B37:C37"/>
    <mergeCell ref="B38:C38"/>
    <mergeCell ref="B39:C39"/>
    <mergeCell ref="F39:H39"/>
    <mergeCell ref="B40:C40"/>
    <mergeCell ref="B41:C41"/>
    <mergeCell ref="F46:H46"/>
    <mergeCell ref="F47:H47"/>
    <mergeCell ref="B42:C42"/>
    <mergeCell ref="F42:H42"/>
    <mergeCell ref="B43:C43"/>
    <mergeCell ref="F43:H43"/>
    <mergeCell ref="B44:C44"/>
    <mergeCell ref="F44:H44"/>
    <mergeCell ref="F45:H45"/>
    <mergeCell ref="F49:H49"/>
    <mergeCell ref="F50:H50"/>
    <mergeCell ref="B45:C45"/>
    <mergeCell ref="B46:C46"/>
    <mergeCell ref="B47:C47"/>
    <mergeCell ref="B48:C48"/>
    <mergeCell ref="F48:H48"/>
    <mergeCell ref="B49:C49"/>
    <mergeCell ref="B50:C50"/>
  </mergeCells>
  <printOptions/>
  <pageMargins bottom="0.75" footer="0.0" header="0.0" left="0.7" right="0.7" top="0.75"/>
  <pageSetup orientation="landscape"/>
  <drawing r:id="rId1"/>
</worksheet>
</file>